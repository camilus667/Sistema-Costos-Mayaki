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Contabilidad\Documentacion MAYAKI\Documentos Credito FIE\Inventario\"/>
    </mc:Choice>
  </mc:AlternateContent>
  <xr:revisionPtr revIDLastSave="0" documentId="8_{42850A98-89B0-4CA3-8AD7-7C53F2EC2671}" xr6:coauthVersionLast="47" xr6:coauthVersionMax="47" xr10:uidLastSave="{00000000-0000-0000-0000-000000000000}"/>
  <bookViews>
    <workbookView xWindow="-120" yWindow="-120" windowWidth="24240" windowHeight="13140" tabRatio="894" firstSheet="6" activeTab="17" xr2:uid="{00000000-000D-0000-FFFF-FFFF00000000}"/>
  </bookViews>
  <sheets>
    <sheet name="PesoMatPrima" sheetId="7" r:id="rId1"/>
    <sheet name="Acc" sheetId="4" r:id="rId2"/>
    <sheet name="Tela" sheetId="11" r:id="rId3"/>
    <sheet name="ManoDeObra" sheetId="12" r:id="rId4"/>
    <sheet name="fijosXprenda" sheetId="14" r:id="rId5"/>
    <sheet name="Fij&amp;Var" sheetId="15" r:id="rId6"/>
    <sheet name="Semit." sheetId="13" r:id="rId7"/>
    <sheet name="CostoBruto" sheetId="1" r:id="rId8"/>
    <sheet name="PrecioDeVenta" sheetId="28" r:id="rId9"/>
    <sheet name="CostoAntesImp" sheetId="22" r:id="rId10"/>
    <sheet name="CostoTotal" sheetId="24" r:id="rId11"/>
    <sheet name="UtilidadNeta" sheetId="20" r:id="rId12"/>
    <sheet name="%Ganancia" sheetId="17" r:id="rId13"/>
    <sheet name="INVENTARIO" sheetId="25" r:id="rId14"/>
    <sheet name="CostoInventario" sheetId="26" r:id="rId15"/>
    <sheet name="PrecioAntiguos" sheetId="27" r:id="rId16"/>
    <sheet name="PrecioAgo2024" sheetId="29" r:id="rId17"/>
    <sheet name="INVENTARIO (2)" sheetId="30" r:id="rId18"/>
  </sheets>
  <definedNames>
    <definedName name="_xlnm.Print_Area" localSheetId="12">'%Ganancia'!$A$1:$R$30</definedName>
    <definedName name="_xlnm.Print_Area" localSheetId="1">Acc!$A$1:$AP$27</definedName>
    <definedName name="_xlnm.Print_Area" localSheetId="9">CostoAntesImp!$A$1:$R$30</definedName>
    <definedName name="_xlnm.Print_Area" localSheetId="7">CostoBruto!$A$1:$R$30</definedName>
    <definedName name="_xlnm.Print_Area" localSheetId="14">CostoInventario!$A$1:$Q$29</definedName>
    <definedName name="_xlnm.Print_Area" localSheetId="10">CostoTotal!$A$1:$R$30</definedName>
    <definedName name="_xlnm.Print_Area" localSheetId="5">'Fij&amp;Var'!$A$1:$C$18</definedName>
    <definedName name="_xlnm.Print_Area" localSheetId="4">fijosXprenda!$A$1:$D$30</definedName>
    <definedName name="_xlnm.Print_Area" localSheetId="13">INVENTARIO!$A$1:$Q$29</definedName>
    <definedName name="_xlnm.Print_Area" localSheetId="17">'INVENTARIO (2)'!$A$1:$Q$29</definedName>
    <definedName name="_xlnm.Print_Area" localSheetId="3">ManoDeObra!$A$1:$E$30</definedName>
    <definedName name="_xlnm.Print_Area" localSheetId="0">PesoMatPrima!$A$1:$R$30</definedName>
    <definedName name="_xlnm.Print_Area" localSheetId="16">PrecioAgo2024!$A$1:$R$30</definedName>
    <definedName name="_xlnm.Print_Area" localSheetId="15">PrecioAntiguos!#REF!</definedName>
    <definedName name="_xlnm.Print_Area" localSheetId="8">PrecioDeVenta!$A$1:$R$31</definedName>
    <definedName name="_xlnm.Print_Area" localSheetId="6">Semit.!$A$1:$Q$5</definedName>
    <definedName name="_xlnm.Print_Area" localSheetId="2">Tela!$A$1:$J$15</definedName>
    <definedName name="_xlnm.Print_Area" localSheetId="11">UtilidadNeta!$A$1:$R$30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0" l="1"/>
  <c r="E3" i="20"/>
  <c r="F3" i="20"/>
  <c r="G3" i="20"/>
  <c r="H3" i="20"/>
  <c r="I3" i="20"/>
  <c r="K4" i="20"/>
  <c r="R4" i="20"/>
  <c r="K5" i="20"/>
  <c r="M5" i="20"/>
  <c r="N5" i="20"/>
  <c r="O5" i="20"/>
  <c r="P5" i="20"/>
  <c r="Q5" i="20"/>
  <c r="R5" i="20"/>
  <c r="D6" i="20"/>
  <c r="E6" i="20"/>
  <c r="F6" i="20"/>
  <c r="G6" i="20"/>
  <c r="H6" i="20"/>
  <c r="I6" i="20"/>
  <c r="J6" i="20"/>
  <c r="L6" i="20"/>
  <c r="M6" i="20"/>
  <c r="N6" i="20"/>
  <c r="O6" i="20"/>
  <c r="P6" i="20"/>
  <c r="Q6" i="20"/>
  <c r="R6" i="20"/>
  <c r="K7" i="20"/>
  <c r="M7" i="20"/>
  <c r="N7" i="20"/>
  <c r="O7" i="20"/>
  <c r="P7" i="20"/>
  <c r="Q7" i="20"/>
  <c r="R7" i="20"/>
  <c r="K8" i="20"/>
  <c r="L8" i="20"/>
  <c r="M8" i="20"/>
  <c r="N8" i="20"/>
  <c r="O8" i="20"/>
  <c r="P8" i="20"/>
  <c r="Q8" i="20"/>
  <c r="R8" i="20"/>
  <c r="K9" i="20"/>
  <c r="R9" i="20"/>
  <c r="K10" i="20"/>
  <c r="R10" i="20"/>
  <c r="K11" i="20"/>
  <c r="R11" i="20"/>
  <c r="K12" i="20"/>
  <c r="R12" i="20"/>
  <c r="K13" i="20"/>
  <c r="R13" i="20"/>
  <c r="D14" i="20"/>
  <c r="E14" i="20"/>
  <c r="F14" i="20"/>
  <c r="G14" i="20"/>
  <c r="H14" i="20"/>
  <c r="I14" i="20"/>
  <c r="R14" i="20"/>
  <c r="R15" i="20"/>
  <c r="K16" i="20"/>
  <c r="L16" i="20"/>
  <c r="M16" i="20"/>
  <c r="N16" i="20"/>
  <c r="O16" i="20"/>
  <c r="P16" i="20"/>
  <c r="Q16" i="20"/>
  <c r="R16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K18" i="20"/>
  <c r="R18" i="20"/>
  <c r="I19" i="20"/>
  <c r="J19" i="20"/>
  <c r="K19" i="20"/>
  <c r="L19" i="20"/>
  <c r="M19" i="20"/>
  <c r="N19" i="20"/>
  <c r="O19" i="20"/>
  <c r="P19" i="20"/>
  <c r="Q19" i="20"/>
  <c r="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K21" i="20"/>
  <c r="R21" i="20"/>
  <c r="K22" i="20"/>
  <c r="R22" i="20"/>
  <c r="K23" i="20"/>
  <c r="R23" i="20"/>
  <c r="K24" i="20"/>
  <c r="R24" i="20"/>
  <c r="K25" i="20"/>
  <c r="R25" i="20"/>
  <c r="K26" i="20"/>
  <c r="R26" i="20"/>
  <c r="K27" i="20"/>
  <c r="L27" i="20"/>
  <c r="M27" i="20"/>
  <c r="N27" i="20"/>
  <c r="O27" i="20"/>
  <c r="P27" i="20"/>
  <c r="Q27" i="20"/>
  <c r="R27" i="20"/>
  <c r="K28" i="20"/>
  <c r="M28" i="20"/>
  <c r="Q28" i="20"/>
  <c r="R28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C14" i="20"/>
  <c r="C20" i="20"/>
  <c r="C29" i="20"/>
  <c r="C6" i="20"/>
  <c r="C3" i="20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K21" i="1"/>
  <c r="K22" i="1"/>
  <c r="K22" i="22"/>
  <c r="K22" i="24" s="1"/>
  <c r="K21" i="22"/>
  <c r="K21" i="24" s="1"/>
  <c r="K4" i="17"/>
  <c r="K5" i="17"/>
  <c r="L6" i="17"/>
  <c r="M6" i="17"/>
  <c r="N6" i="17"/>
  <c r="O6" i="17"/>
  <c r="P6" i="17"/>
  <c r="Q6" i="17"/>
  <c r="K7" i="17"/>
  <c r="M7" i="17"/>
  <c r="N7" i="17"/>
  <c r="O7" i="17"/>
  <c r="P7" i="17"/>
  <c r="Q7" i="17"/>
  <c r="K8" i="17"/>
  <c r="M8" i="17"/>
  <c r="N8" i="17"/>
  <c r="O8" i="17"/>
  <c r="P8" i="17"/>
  <c r="Q8" i="17"/>
  <c r="K9" i="17"/>
  <c r="K10" i="17"/>
  <c r="K11" i="17"/>
  <c r="K12" i="17"/>
  <c r="K13" i="17"/>
  <c r="K17" i="17"/>
  <c r="L17" i="17"/>
  <c r="M17" i="17"/>
  <c r="N17" i="17"/>
  <c r="O17" i="17"/>
  <c r="P17" i="17"/>
  <c r="Q17" i="17"/>
  <c r="K18" i="17"/>
  <c r="K19" i="17"/>
  <c r="L19" i="17"/>
  <c r="M19" i="17"/>
  <c r="N19" i="17"/>
  <c r="O19" i="17"/>
  <c r="P19" i="17"/>
  <c r="Q19" i="17"/>
  <c r="K20" i="17"/>
  <c r="L20" i="17"/>
  <c r="M20" i="17"/>
  <c r="N20" i="17"/>
  <c r="O20" i="17"/>
  <c r="P20" i="17"/>
  <c r="Q20" i="17"/>
  <c r="K21" i="17"/>
  <c r="K22" i="17"/>
  <c r="K23" i="17"/>
  <c r="K24" i="17"/>
  <c r="K25" i="17"/>
  <c r="K26" i="17"/>
  <c r="K27" i="17"/>
  <c r="P27" i="17"/>
  <c r="Q27" i="17"/>
  <c r="K28" i="17"/>
  <c r="K29" i="17"/>
  <c r="K11" i="22"/>
  <c r="K11" i="24" s="1"/>
  <c r="K28" i="22"/>
  <c r="L28" i="22"/>
  <c r="L28" i="24" s="1"/>
  <c r="L28" i="20" s="1"/>
  <c r="M28" i="22"/>
  <c r="N28" i="22"/>
  <c r="O28" i="22"/>
  <c r="O28" i="24" s="1"/>
  <c r="O28" i="20" s="1"/>
  <c r="P28" i="22"/>
  <c r="P28" i="24" s="1"/>
  <c r="Q28" i="22"/>
  <c r="K28" i="24"/>
  <c r="K28" i="26" s="1"/>
  <c r="M28" i="24"/>
  <c r="N28" i="24"/>
  <c r="Q28" i="24"/>
  <c r="M5" i="17"/>
  <c r="N5" i="17"/>
  <c r="O5" i="17"/>
  <c r="M27" i="17"/>
  <c r="L28" i="17"/>
  <c r="K23" i="1"/>
  <c r="K23" i="22" s="1"/>
  <c r="K23" i="24" s="1"/>
  <c r="K24" i="1"/>
  <c r="K24" i="22" s="1"/>
  <c r="K24" i="24" s="1"/>
  <c r="K25" i="1"/>
  <c r="K25" i="22" s="1"/>
  <c r="K25" i="24" s="1"/>
  <c r="K26" i="1"/>
  <c r="K26" i="22" s="1"/>
  <c r="K26" i="24" s="1"/>
  <c r="K27" i="1"/>
  <c r="K27" i="22" s="1"/>
  <c r="K27" i="24" s="1"/>
  <c r="K29" i="1"/>
  <c r="K29" i="22" s="1"/>
  <c r="K29" i="24" s="1"/>
  <c r="K4" i="1"/>
  <c r="K4" i="22" s="1"/>
  <c r="K4" i="24" s="1"/>
  <c r="K5" i="1"/>
  <c r="K5" i="22" s="1"/>
  <c r="K5" i="24" s="1"/>
  <c r="K9" i="1"/>
  <c r="K9" i="22" s="1"/>
  <c r="K9" i="24" s="1"/>
  <c r="K9" i="26" s="1"/>
  <c r="K10" i="1"/>
  <c r="K10" i="22" s="1"/>
  <c r="K10" i="24" s="1"/>
  <c r="K11" i="1"/>
  <c r="K12" i="1"/>
  <c r="K12" i="22" s="1"/>
  <c r="K12" i="24" s="1"/>
  <c r="K13" i="1"/>
  <c r="K13" i="22" s="1"/>
  <c r="K13" i="24" s="1"/>
  <c r="K13" i="26" s="1"/>
  <c r="K18" i="1"/>
  <c r="K18" i="22" s="1"/>
  <c r="K18" i="24" s="1"/>
  <c r="K18" i="26" s="1"/>
  <c r="C36" i="7"/>
  <c r="D36" i="7"/>
  <c r="E36" i="7"/>
  <c r="F36" i="7"/>
  <c r="G36" i="7"/>
  <c r="H36" i="7"/>
  <c r="I36" i="7"/>
  <c r="J36" i="7"/>
  <c r="L36" i="7"/>
  <c r="M36" i="7"/>
  <c r="N36" i="7"/>
  <c r="O36" i="7"/>
  <c r="P36" i="7"/>
  <c r="Q36" i="7"/>
  <c r="C39" i="7"/>
  <c r="D39" i="7"/>
  <c r="G39" i="7"/>
  <c r="H39" i="7"/>
  <c r="J39" i="7"/>
  <c r="J40" i="7"/>
  <c r="C41" i="7"/>
  <c r="D41" i="7"/>
  <c r="E41" i="7"/>
  <c r="F41" i="7"/>
  <c r="G41" i="7"/>
  <c r="H41" i="7"/>
  <c r="I41" i="7"/>
  <c r="J41" i="7"/>
  <c r="L41" i="7"/>
  <c r="M41" i="7"/>
  <c r="N41" i="7"/>
  <c r="O41" i="7"/>
  <c r="P41" i="7"/>
  <c r="Q41" i="7"/>
  <c r="I43" i="7"/>
  <c r="J43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C56" i="7"/>
  <c r="D56" i="7"/>
  <c r="E56" i="7"/>
  <c r="F56" i="7"/>
  <c r="G56" i="7"/>
  <c r="H56" i="7"/>
  <c r="I56" i="7"/>
  <c r="J56" i="7"/>
  <c r="L56" i="7"/>
  <c r="M56" i="7"/>
  <c r="N56" i="7"/>
  <c r="O56" i="7"/>
  <c r="P56" i="7"/>
  <c r="Q56" i="7"/>
  <c r="D60" i="7"/>
  <c r="E60" i="7" s="1"/>
  <c r="F60" i="7" s="1"/>
  <c r="G60" i="7" s="1"/>
  <c r="H60" i="7" s="1"/>
  <c r="I60" i="7" s="1"/>
  <c r="J60" i="7" s="1"/>
  <c r="L60" i="7" s="1"/>
  <c r="M60" i="7" s="1"/>
  <c r="N60" i="7" s="1"/>
  <c r="O60" i="7" s="1"/>
  <c r="P60" i="7" s="1"/>
  <c r="Q60" i="7" s="1"/>
  <c r="P28" i="26" l="1"/>
  <c r="P28" i="20"/>
  <c r="P28" i="17" s="1"/>
  <c r="N28" i="20"/>
  <c r="N28" i="17" s="1"/>
  <c r="Q28" i="17"/>
  <c r="O28" i="17"/>
  <c r="N28" i="26"/>
  <c r="L28" i="26"/>
  <c r="K27" i="26"/>
  <c r="K23" i="26"/>
  <c r="N16" i="17"/>
  <c r="K5" i="26"/>
  <c r="K12" i="26"/>
  <c r="K29" i="26"/>
  <c r="M28" i="26"/>
  <c r="M28" i="17"/>
  <c r="K26" i="26"/>
  <c r="K11" i="26"/>
  <c r="P5" i="17"/>
  <c r="Q28" i="26"/>
  <c r="K25" i="26"/>
  <c r="K4" i="26"/>
  <c r="O28" i="26"/>
  <c r="K10" i="26"/>
  <c r="K24" i="26"/>
  <c r="R3" i="7"/>
  <c r="R16" i="26"/>
  <c r="R24" i="26"/>
  <c r="K16" i="17"/>
  <c r="L16" i="17"/>
  <c r="M16" i="17"/>
  <c r="O16" i="17"/>
  <c r="P16" i="17"/>
  <c r="Q16" i="17"/>
  <c r="AO22" i="4"/>
  <c r="D1" i="4"/>
  <c r="E1" i="4" s="1"/>
  <c r="F1" i="4" s="1"/>
  <c r="G1" i="4" s="1"/>
  <c r="H1" i="4" s="1"/>
  <c r="I1" i="4" s="1"/>
  <c r="J1" i="4" s="1"/>
  <c r="K1" i="4" s="1"/>
  <c r="L1" i="4" s="1"/>
  <c r="AO14" i="4"/>
  <c r="AN14" i="4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C16" i="7"/>
  <c r="D24" i="7"/>
  <c r="E24" i="7"/>
  <c r="F24" i="7"/>
  <c r="G24" i="7"/>
  <c r="H24" i="7"/>
  <c r="I24" i="7"/>
  <c r="J24" i="7"/>
  <c r="L24" i="7"/>
  <c r="M24" i="7"/>
  <c r="N24" i="7"/>
  <c r="O24" i="7"/>
  <c r="P24" i="7"/>
  <c r="Q24" i="7"/>
  <c r="C24" i="7"/>
  <c r="A1" i="7"/>
  <c r="C3" i="17"/>
  <c r="D3" i="17"/>
  <c r="E3" i="17"/>
  <c r="F3" i="17"/>
  <c r="G3" i="17"/>
  <c r="H3" i="17"/>
  <c r="I3" i="17"/>
  <c r="C14" i="17"/>
  <c r="D17" i="17"/>
  <c r="E17" i="17"/>
  <c r="F17" i="17"/>
  <c r="G17" i="17"/>
  <c r="H17" i="17"/>
  <c r="I17" i="17"/>
  <c r="I19" i="17"/>
  <c r="AO23" i="4"/>
  <c r="D3" i="7"/>
  <c r="D3" i="1" s="1"/>
  <c r="D3" i="22" s="1"/>
  <c r="D3" i="24" s="1"/>
  <c r="E3" i="7"/>
  <c r="E3" i="1" s="1"/>
  <c r="E3" i="22" s="1"/>
  <c r="E3" i="24" s="1"/>
  <c r="F3" i="7"/>
  <c r="F3" i="1" s="1"/>
  <c r="F3" i="22" s="1"/>
  <c r="F3" i="24" s="1"/>
  <c r="G3" i="7"/>
  <c r="G3" i="1" s="1"/>
  <c r="G3" i="22" s="1"/>
  <c r="G3" i="24" s="1"/>
  <c r="H3" i="7"/>
  <c r="H3" i="1" s="1"/>
  <c r="H3" i="22" s="1"/>
  <c r="H3" i="24" s="1"/>
  <c r="I3" i="7"/>
  <c r="I3" i="1" s="1"/>
  <c r="I3" i="22" s="1"/>
  <c r="I3" i="24" s="1"/>
  <c r="J3" i="7"/>
  <c r="K3" i="7"/>
  <c r="L3" i="7"/>
  <c r="M3" i="7"/>
  <c r="N3" i="7"/>
  <c r="O3" i="7"/>
  <c r="P3" i="7"/>
  <c r="Q3" i="7"/>
  <c r="D4" i="7"/>
  <c r="E4" i="7"/>
  <c r="F4" i="7"/>
  <c r="G4" i="7"/>
  <c r="H4" i="7"/>
  <c r="I4" i="7"/>
  <c r="J4" i="7"/>
  <c r="L4" i="7"/>
  <c r="M4" i="7"/>
  <c r="N4" i="7"/>
  <c r="O4" i="7"/>
  <c r="P4" i="7"/>
  <c r="Q4" i="7"/>
  <c r="D6" i="7"/>
  <c r="D6" i="1" s="1"/>
  <c r="D6" i="22" s="1"/>
  <c r="D6" i="24" s="1"/>
  <c r="E6" i="7"/>
  <c r="E6" i="1" s="1"/>
  <c r="E6" i="22" s="1"/>
  <c r="E6" i="24" s="1"/>
  <c r="F6" i="7"/>
  <c r="F6" i="1" s="1"/>
  <c r="F6" i="22" s="1"/>
  <c r="F6" i="24" s="1"/>
  <c r="G6" i="7"/>
  <c r="G6" i="1" s="1"/>
  <c r="G6" i="22" s="1"/>
  <c r="G6" i="24" s="1"/>
  <c r="H6" i="7"/>
  <c r="H6" i="1" s="1"/>
  <c r="H6" i="22" s="1"/>
  <c r="H6" i="24" s="1"/>
  <c r="I6" i="7"/>
  <c r="I6" i="1" s="1"/>
  <c r="I6" i="22" s="1"/>
  <c r="I6" i="24" s="1"/>
  <c r="J6" i="7"/>
  <c r="J6" i="1" s="1"/>
  <c r="J6" i="22" s="1"/>
  <c r="J6" i="24" s="1"/>
  <c r="K6" i="7"/>
  <c r="L6" i="7"/>
  <c r="L6" i="1" s="1"/>
  <c r="L6" i="22" s="1"/>
  <c r="L6" i="24" s="1"/>
  <c r="L6" i="26" s="1"/>
  <c r="M6" i="7"/>
  <c r="M6" i="1" s="1"/>
  <c r="M6" i="22" s="1"/>
  <c r="M6" i="24" s="1"/>
  <c r="M6" i="26" s="1"/>
  <c r="N6" i="7"/>
  <c r="N6" i="1" s="1"/>
  <c r="N6" i="22" s="1"/>
  <c r="N6" i="24" s="1"/>
  <c r="N6" i="26" s="1"/>
  <c r="O6" i="7"/>
  <c r="O6" i="1" s="1"/>
  <c r="O6" i="22" s="1"/>
  <c r="O6" i="24" s="1"/>
  <c r="O6" i="26" s="1"/>
  <c r="P6" i="7"/>
  <c r="P6" i="1" s="1"/>
  <c r="P6" i="22" s="1"/>
  <c r="P6" i="24" s="1"/>
  <c r="P6" i="26" s="1"/>
  <c r="Q6" i="7"/>
  <c r="Q6" i="1" s="1"/>
  <c r="Q6" i="22" s="1"/>
  <c r="Q6" i="24" s="1"/>
  <c r="Q6" i="26" s="1"/>
  <c r="D7" i="7"/>
  <c r="E7" i="7"/>
  <c r="F7" i="7"/>
  <c r="G7" i="7"/>
  <c r="H7" i="7"/>
  <c r="I7" i="7"/>
  <c r="J7" i="7"/>
  <c r="K7" i="7"/>
  <c r="L7" i="7"/>
  <c r="M7" i="7"/>
  <c r="M7" i="1" s="1"/>
  <c r="M7" i="22" s="1"/>
  <c r="M7" i="24" s="1"/>
  <c r="M7" i="26" s="1"/>
  <c r="N7" i="7"/>
  <c r="N7" i="1" s="1"/>
  <c r="N7" i="22" s="1"/>
  <c r="N7" i="24" s="1"/>
  <c r="N7" i="26" s="1"/>
  <c r="O7" i="7"/>
  <c r="O7" i="1" s="1"/>
  <c r="O7" i="22" s="1"/>
  <c r="O7" i="24" s="1"/>
  <c r="O7" i="26" s="1"/>
  <c r="P7" i="7"/>
  <c r="P7" i="1" s="1"/>
  <c r="P7" i="22" s="1"/>
  <c r="P7" i="24" s="1"/>
  <c r="P7" i="26" s="1"/>
  <c r="Q7" i="7"/>
  <c r="Q7" i="1" s="1"/>
  <c r="Q7" i="22" s="1"/>
  <c r="Q7" i="24" s="1"/>
  <c r="Q7" i="26" s="1"/>
  <c r="E8" i="7"/>
  <c r="F8" i="7"/>
  <c r="I8" i="7"/>
  <c r="K8" i="7"/>
  <c r="L8" i="7"/>
  <c r="M8" i="7"/>
  <c r="M8" i="1" s="1"/>
  <c r="M8" i="22" s="1"/>
  <c r="M8" i="24" s="1"/>
  <c r="M8" i="26" s="1"/>
  <c r="N8" i="7"/>
  <c r="N8" i="1" s="1"/>
  <c r="N8" i="22" s="1"/>
  <c r="N8" i="24" s="1"/>
  <c r="N8" i="26" s="1"/>
  <c r="O8" i="7"/>
  <c r="O8" i="1" s="1"/>
  <c r="O8" i="22" s="1"/>
  <c r="O8" i="24" s="1"/>
  <c r="O8" i="26" s="1"/>
  <c r="P8" i="7"/>
  <c r="P8" i="1" s="1"/>
  <c r="P8" i="22" s="1"/>
  <c r="P8" i="24" s="1"/>
  <c r="P8" i="26" s="1"/>
  <c r="Q8" i="7"/>
  <c r="Q8" i="1" s="1"/>
  <c r="Q8" i="22" s="1"/>
  <c r="Q8" i="24" s="1"/>
  <c r="Q8" i="26" s="1"/>
  <c r="D9" i="7"/>
  <c r="E9" i="7"/>
  <c r="F9" i="7"/>
  <c r="G9" i="7"/>
  <c r="H9" i="7"/>
  <c r="I9" i="7"/>
  <c r="L9" i="7"/>
  <c r="M9" i="7"/>
  <c r="N9" i="7"/>
  <c r="O9" i="7"/>
  <c r="P9" i="7"/>
  <c r="Q9" i="7"/>
  <c r="D11" i="7"/>
  <c r="E11" i="7"/>
  <c r="F11" i="7"/>
  <c r="G11" i="7"/>
  <c r="H11" i="7"/>
  <c r="I11" i="7"/>
  <c r="J11" i="7"/>
  <c r="L11" i="7"/>
  <c r="M11" i="7"/>
  <c r="N11" i="7"/>
  <c r="O11" i="7"/>
  <c r="P11" i="7"/>
  <c r="Q11" i="7"/>
  <c r="D12" i="7"/>
  <c r="E12" i="7"/>
  <c r="F12" i="7"/>
  <c r="G12" i="7"/>
  <c r="H12" i="7"/>
  <c r="L12" i="7"/>
  <c r="M12" i="7"/>
  <c r="N12" i="7"/>
  <c r="O12" i="7"/>
  <c r="P12" i="7"/>
  <c r="Q12" i="7"/>
  <c r="D13" i="7"/>
  <c r="E13" i="7"/>
  <c r="F13" i="7"/>
  <c r="G13" i="7"/>
  <c r="H13" i="7"/>
  <c r="I13" i="7"/>
  <c r="J13" i="7"/>
  <c r="L13" i="7"/>
  <c r="M13" i="7"/>
  <c r="N13" i="7"/>
  <c r="O13" i="7"/>
  <c r="P13" i="7"/>
  <c r="Q13" i="7"/>
  <c r="D14" i="7"/>
  <c r="D14" i="1" s="1"/>
  <c r="D14" i="22" s="1"/>
  <c r="D14" i="24" s="1"/>
  <c r="E14" i="7"/>
  <c r="E14" i="1" s="1"/>
  <c r="E14" i="22" s="1"/>
  <c r="E14" i="24" s="1"/>
  <c r="F14" i="7"/>
  <c r="F14" i="1" s="1"/>
  <c r="F14" i="22" s="1"/>
  <c r="F14" i="24" s="1"/>
  <c r="G14" i="7"/>
  <c r="G14" i="1" s="1"/>
  <c r="G14" i="22" s="1"/>
  <c r="G14" i="24" s="1"/>
  <c r="H14" i="7"/>
  <c r="H14" i="1" s="1"/>
  <c r="H14" i="22" s="1"/>
  <c r="H14" i="24" s="1"/>
  <c r="I14" i="7"/>
  <c r="I14" i="1" s="1"/>
  <c r="I14" i="22" s="1"/>
  <c r="I14" i="24" s="1"/>
  <c r="J14" i="7"/>
  <c r="K14" i="7"/>
  <c r="L14" i="7"/>
  <c r="M14" i="7"/>
  <c r="N14" i="7"/>
  <c r="O14" i="7"/>
  <c r="P14" i="7"/>
  <c r="Q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D17" i="7"/>
  <c r="D17" i="1" s="1"/>
  <c r="D17" i="22" s="1"/>
  <c r="D17" i="24" s="1"/>
  <c r="E17" i="7"/>
  <c r="E17" i="1" s="1"/>
  <c r="E17" i="22" s="1"/>
  <c r="E17" i="24" s="1"/>
  <c r="F17" i="7"/>
  <c r="F17" i="1" s="1"/>
  <c r="F17" i="22" s="1"/>
  <c r="F17" i="24" s="1"/>
  <c r="G17" i="7"/>
  <c r="G17" i="1" s="1"/>
  <c r="G17" i="22" s="1"/>
  <c r="G17" i="24" s="1"/>
  <c r="H17" i="7"/>
  <c r="H17" i="1" s="1"/>
  <c r="H17" i="22" s="1"/>
  <c r="H17" i="24" s="1"/>
  <c r="I17" i="7"/>
  <c r="I17" i="1" s="1"/>
  <c r="I17" i="22" s="1"/>
  <c r="I17" i="24" s="1"/>
  <c r="J17" i="7"/>
  <c r="J17" i="1" s="1"/>
  <c r="J17" i="22" s="1"/>
  <c r="J17" i="24" s="1"/>
  <c r="K17" i="7"/>
  <c r="K17" i="1" s="1"/>
  <c r="K17" i="22" s="1"/>
  <c r="K17" i="24" s="1"/>
  <c r="K17" i="26" s="1"/>
  <c r="L17" i="7"/>
  <c r="L17" i="1" s="1"/>
  <c r="L17" i="22" s="1"/>
  <c r="L17" i="24" s="1"/>
  <c r="L17" i="26" s="1"/>
  <c r="M17" i="7"/>
  <c r="M17" i="1" s="1"/>
  <c r="M17" i="22" s="1"/>
  <c r="M17" i="24" s="1"/>
  <c r="M17" i="26" s="1"/>
  <c r="N17" i="7"/>
  <c r="N17" i="1" s="1"/>
  <c r="N17" i="22" s="1"/>
  <c r="N17" i="24" s="1"/>
  <c r="N17" i="26" s="1"/>
  <c r="O17" i="7"/>
  <c r="O17" i="1" s="1"/>
  <c r="O17" i="22" s="1"/>
  <c r="O17" i="24" s="1"/>
  <c r="O17" i="26" s="1"/>
  <c r="P17" i="7"/>
  <c r="P17" i="1" s="1"/>
  <c r="P17" i="22" s="1"/>
  <c r="P17" i="24" s="1"/>
  <c r="P17" i="26" s="1"/>
  <c r="Q17" i="7"/>
  <c r="Q17" i="1" s="1"/>
  <c r="Q17" i="22" s="1"/>
  <c r="Q17" i="24" s="1"/>
  <c r="Q17" i="26" s="1"/>
  <c r="D18" i="7"/>
  <c r="E18" i="7"/>
  <c r="F18" i="7"/>
  <c r="G18" i="7"/>
  <c r="H18" i="7"/>
  <c r="I18" i="7"/>
  <c r="J18" i="7"/>
  <c r="L18" i="7"/>
  <c r="M18" i="7"/>
  <c r="N18" i="7"/>
  <c r="O18" i="7"/>
  <c r="P18" i="7"/>
  <c r="Q18" i="7"/>
  <c r="D19" i="7"/>
  <c r="E19" i="7"/>
  <c r="F19" i="7"/>
  <c r="G19" i="7"/>
  <c r="H19" i="7"/>
  <c r="I19" i="7"/>
  <c r="I19" i="1" s="1"/>
  <c r="I19" i="22" s="1"/>
  <c r="I19" i="24" s="1"/>
  <c r="J19" i="7"/>
  <c r="J19" i="1" s="1"/>
  <c r="J19" i="22" s="1"/>
  <c r="J19" i="24" s="1"/>
  <c r="K19" i="7"/>
  <c r="K19" i="1" s="1"/>
  <c r="K19" i="22" s="1"/>
  <c r="K19" i="24" s="1"/>
  <c r="K19" i="26" s="1"/>
  <c r="L19" i="7"/>
  <c r="L19" i="1" s="1"/>
  <c r="L19" i="22" s="1"/>
  <c r="L19" i="24" s="1"/>
  <c r="L19" i="26" s="1"/>
  <c r="M19" i="7"/>
  <c r="M19" i="1" s="1"/>
  <c r="M19" i="22" s="1"/>
  <c r="M19" i="24" s="1"/>
  <c r="M19" i="26" s="1"/>
  <c r="N19" i="7"/>
  <c r="N19" i="1" s="1"/>
  <c r="N19" i="22" s="1"/>
  <c r="N19" i="24" s="1"/>
  <c r="N19" i="26" s="1"/>
  <c r="O19" i="7"/>
  <c r="O19" i="1" s="1"/>
  <c r="O19" i="22" s="1"/>
  <c r="O19" i="24" s="1"/>
  <c r="O19" i="26" s="1"/>
  <c r="P19" i="7"/>
  <c r="P19" i="1" s="1"/>
  <c r="P19" i="22" s="1"/>
  <c r="P19" i="24" s="1"/>
  <c r="P19" i="26" s="1"/>
  <c r="Q19" i="7"/>
  <c r="Q19" i="1" s="1"/>
  <c r="Q19" i="22" s="1"/>
  <c r="Q19" i="24" s="1"/>
  <c r="Q19" i="26" s="1"/>
  <c r="D20" i="7"/>
  <c r="E20" i="7"/>
  <c r="F20" i="7"/>
  <c r="G20" i="7"/>
  <c r="H20" i="7"/>
  <c r="I20" i="7"/>
  <c r="I20" i="1" s="1"/>
  <c r="I20" i="22" s="1"/>
  <c r="I20" i="24" s="1"/>
  <c r="J20" i="7"/>
  <c r="J20" i="1" s="1"/>
  <c r="J20" i="22" s="1"/>
  <c r="J20" i="24" s="1"/>
  <c r="K20" i="7"/>
  <c r="K20" i="1" s="1"/>
  <c r="K20" i="22" s="1"/>
  <c r="K20" i="24" s="1"/>
  <c r="K20" i="26" s="1"/>
  <c r="L20" i="7"/>
  <c r="L20" i="1" s="1"/>
  <c r="L20" i="22" s="1"/>
  <c r="L20" i="24" s="1"/>
  <c r="L20" i="26" s="1"/>
  <c r="M20" i="7"/>
  <c r="M20" i="1" s="1"/>
  <c r="M20" i="22" s="1"/>
  <c r="M20" i="24" s="1"/>
  <c r="M20" i="26" s="1"/>
  <c r="N20" i="7"/>
  <c r="N20" i="1" s="1"/>
  <c r="N20" i="22" s="1"/>
  <c r="N20" i="24" s="1"/>
  <c r="N20" i="26" s="1"/>
  <c r="O20" i="7"/>
  <c r="O20" i="1" s="1"/>
  <c r="O20" i="22" s="1"/>
  <c r="O20" i="24" s="1"/>
  <c r="O20" i="26" s="1"/>
  <c r="P20" i="7"/>
  <c r="P20" i="1" s="1"/>
  <c r="P20" i="22" s="1"/>
  <c r="P20" i="24" s="1"/>
  <c r="P20" i="26" s="1"/>
  <c r="Q20" i="7"/>
  <c r="Q20" i="1" s="1"/>
  <c r="Q20" i="22" s="1"/>
  <c r="Q20" i="24" s="1"/>
  <c r="Q20" i="26" s="1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D23" i="7"/>
  <c r="E23" i="7"/>
  <c r="F23" i="7"/>
  <c r="G23" i="7"/>
  <c r="H23" i="7"/>
  <c r="I23" i="7"/>
  <c r="J23" i="7"/>
  <c r="L23" i="7"/>
  <c r="M23" i="7"/>
  <c r="N23" i="7"/>
  <c r="O23" i="7"/>
  <c r="P23" i="7"/>
  <c r="Q23" i="7"/>
  <c r="D26" i="7"/>
  <c r="E26" i="7"/>
  <c r="F26" i="7"/>
  <c r="G26" i="7"/>
  <c r="H26" i="7"/>
  <c r="I26" i="7"/>
  <c r="J26" i="7"/>
  <c r="L26" i="7"/>
  <c r="M26" i="7"/>
  <c r="N26" i="7"/>
  <c r="O26" i="7"/>
  <c r="P26" i="7"/>
  <c r="Q26" i="7"/>
  <c r="D27" i="7"/>
  <c r="E27" i="7"/>
  <c r="F27" i="7"/>
  <c r="G27" i="7"/>
  <c r="H27" i="7"/>
  <c r="I27" i="7"/>
  <c r="L27" i="7"/>
  <c r="L27" i="1" s="1"/>
  <c r="L27" i="22" s="1"/>
  <c r="L27" i="24" s="1"/>
  <c r="L27" i="17" s="1"/>
  <c r="M27" i="7"/>
  <c r="M27" i="1" s="1"/>
  <c r="M27" i="22" s="1"/>
  <c r="M27" i="24" s="1"/>
  <c r="M27" i="26" s="1"/>
  <c r="N27" i="7"/>
  <c r="N27" i="1" s="1"/>
  <c r="N27" i="22" s="1"/>
  <c r="N27" i="24" s="1"/>
  <c r="N27" i="26" s="1"/>
  <c r="O27" i="7"/>
  <c r="O27" i="1" s="1"/>
  <c r="O27" i="22" s="1"/>
  <c r="O27" i="24" s="1"/>
  <c r="O27" i="26" s="1"/>
  <c r="P27" i="7"/>
  <c r="P27" i="1" s="1"/>
  <c r="P27" i="22" s="1"/>
  <c r="P27" i="24" s="1"/>
  <c r="P27" i="26" s="1"/>
  <c r="Q27" i="7"/>
  <c r="Q27" i="1" s="1"/>
  <c r="Q27" i="22" s="1"/>
  <c r="Q27" i="24" s="1"/>
  <c r="Q27" i="26" s="1"/>
  <c r="D28" i="7"/>
  <c r="E28" i="7"/>
  <c r="F28" i="7"/>
  <c r="G28" i="7"/>
  <c r="H28" i="7"/>
  <c r="I28" i="7"/>
  <c r="J28" i="7"/>
  <c r="L28" i="7"/>
  <c r="M28" i="7"/>
  <c r="N28" i="7"/>
  <c r="O28" i="7"/>
  <c r="P28" i="7"/>
  <c r="Q28" i="7"/>
  <c r="D29" i="7"/>
  <c r="C4" i="7"/>
  <c r="C6" i="7"/>
  <c r="C6" i="1" s="1"/>
  <c r="C6" i="22" s="1"/>
  <c r="C6" i="24" s="1"/>
  <c r="C7" i="7"/>
  <c r="C9" i="7"/>
  <c r="C11" i="7"/>
  <c r="C12" i="7"/>
  <c r="C13" i="7"/>
  <c r="C14" i="7"/>
  <c r="C14" i="1" s="1"/>
  <c r="C14" i="22" s="1"/>
  <c r="C14" i="24" s="1"/>
  <c r="C15" i="7"/>
  <c r="C17" i="7"/>
  <c r="C18" i="7"/>
  <c r="C19" i="7"/>
  <c r="C20" i="7"/>
  <c r="C21" i="7"/>
  <c r="C22" i="7"/>
  <c r="C23" i="7"/>
  <c r="C26" i="7"/>
  <c r="C27" i="7"/>
  <c r="C28" i="7"/>
  <c r="C29" i="7"/>
  <c r="C3" i="7"/>
  <c r="C3" i="1" s="1"/>
  <c r="C3" i="22" s="1"/>
  <c r="C3" i="24" s="1"/>
  <c r="D28" i="22"/>
  <c r="D28" i="24" s="1"/>
  <c r="D28" i="20" s="1"/>
  <c r="E28" i="22"/>
  <c r="E28" i="24" s="1"/>
  <c r="E28" i="20" s="1"/>
  <c r="F28" i="22"/>
  <c r="F28" i="24" s="1"/>
  <c r="F28" i="20" s="1"/>
  <c r="G28" i="22"/>
  <c r="G28" i="24" s="1"/>
  <c r="G28" i="20" s="1"/>
  <c r="H28" i="22"/>
  <c r="H28" i="24" s="1"/>
  <c r="H28" i="20" s="1"/>
  <c r="I28" i="22"/>
  <c r="I28" i="24" s="1"/>
  <c r="I28" i="20" s="1"/>
  <c r="J28" i="22"/>
  <c r="J28" i="24" s="1"/>
  <c r="J28" i="20" s="1"/>
  <c r="D25" i="7"/>
  <c r="E25" i="7"/>
  <c r="F25" i="7"/>
  <c r="G25" i="7"/>
  <c r="H25" i="7"/>
  <c r="I25" i="7"/>
  <c r="J25" i="7"/>
  <c r="L25" i="7"/>
  <c r="M25" i="7"/>
  <c r="N25" i="7"/>
  <c r="O25" i="7"/>
  <c r="P25" i="7"/>
  <c r="Q25" i="7"/>
  <c r="C25" i="7"/>
  <c r="P64" i="7"/>
  <c r="O64" i="7" s="1"/>
  <c r="N64" i="7" s="1"/>
  <c r="M64" i="7" s="1"/>
  <c r="L64" i="7" s="1"/>
  <c r="K64" i="7" s="1"/>
  <c r="J64" i="7" s="1"/>
  <c r="I64" i="7" s="1"/>
  <c r="H64" i="7" s="1"/>
  <c r="G64" i="7" s="1"/>
  <c r="F64" i="7" s="1"/>
  <c r="E64" i="7" s="1"/>
  <c r="D64" i="7" s="1"/>
  <c r="C64" i="7" s="1"/>
  <c r="J27" i="7"/>
  <c r="I12" i="7"/>
  <c r="M10" i="7"/>
  <c r="N10" i="7"/>
  <c r="O10" i="7"/>
  <c r="P10" i="7"/>
  <c r="Q10" i="7"/>
  <c r="L10" i="7"/>
  <c r="H10" i="7"/>
  <c r="I10" i="7"/>
  <c r="G10" i="7"/>
  <c r="D10" i="7"/>
  <c r="E10" i="7"/>
  <c r="F10" i="7"/>
  <c r="C10" i="7"/>
  <c r="J10" i="7"/>
  <c r="D5" i="7"/>
  <c r="E5" i="7"/>
  <c r="F5" i="7"/>
  <c r="G5" i="7"/>
  <c r="H5" i="7"/>
  <c r="I5" i="7"/>
  <c r="J5" i="7"/>
  <c r="L5" i="7"/>
  <c r="M5" i="7"/>
  <c r="N5" i="7"/>
  <c r="O5" i="7"/>
  <c r="P5" i="7"/>
  <c r="Q5" i="7"/>
  <c r="C5" i="7"/>
  <c r="F70" i="4"/>
  <c r="G70" i="4" s="1"/>
  <c r="AN22" i="4" s="1"/>
  <c r="F69" i="4"/>
  <c r="G69" i="4" s="1"/>
  <c r="AM22" i="4" s="1"/>
  <c r="AO5" i="4"/>
  <c r="AO26" i="4"/>
  <c r="D26" i="4"/>
  <c r="C26" i="4"/>
  <c r="AO25" i="4"/>
  <c r="D25" i="4"/>
  <c r="C25" i="4"/>
  <c r="B64" i="4"/>
  <c r="B34" i="4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4" i="4"/>
  <c r="B7" i="4" s="1"/>
  <c r="B8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AH28" i="4"/>
  <c r="F24" i="4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C14" i="15"/>
  <c r="C16" i="15" s="1"/>
  <c r="D4" i="14" s="1"/>
  <c r="F38" i="4"/>
  <c r="F10" i="4"/>
  <c r="G68" i="4"/>
  <c r="AL28" i="4" s="1"/>
  <c r="AO28" i="4"/>
  <c r="Q28" i="4"/>
  <c r="F28" i="4"/>
  <c r="D28" i="4"/>
  <c r="C28" i="4"/>
  <c r="AO27" i="4"/>
  <c r="AO20" i="4"/>
  <c r="AO24" i="4"/>
  <c r="AO21" i="4"/>
  <c r="AO19" i="4"/>
  <c r="AO18" i="4"/>
  <c r="AO17" i="4"/>
  <c r="AO16" i="4"/>
  <c r="AO15" i="4"/>
  <c r="AO13" i="4"/>
  <c r="AO12" i="4"/>
  <c r="AO11" i="4"/>
  <c r="AO10" i="4"/>
  <c r="AO9" i="4"/>
  <c r="AN9" i="4"/>
  <c r="D9" i="4"/>
  <c r="C9" i="4"/>
  <c r="AO8" i="4"/>
  <c r="AN8" i="4"/>
  <c r="AO7" i="4"/>
  <c r="AO6" i="4"/>
  <c r="AO4" i="4"/>
  <c r="AO3" i="4"/>
  <c r="G59" i="4"/>
  <c r="AC28" i="4" s="1"/>
  <c r="G58" i="4"/>
  <c r="G65" i="4"/>
  <c r="AI12" i="4" s="1"/>
  <c r="D16" i="14" l="1"/>
  <c r="AM14" i="4"/>
  <c r="L27" i="26"/>
  <c r="D24" i="14"/>
  <c r="O27" i="17"/>
  <c r="N27" i="17"/>
  <c r="G28" i="17"/>
  <c r="J20" i="17"/>
  <c r="J6" i="17"/>
  <c r="F6" i="17"/>
  <c r="Q5" i="17"/>
  <c r="J28" i="17"/>
  <c r="F28" i="17"/>
  <c r="C29" i="17"/>
  <c r="D29" i="17"/>
  <c r="J17" i="17"/>
  <c r="F14" i="17"/>
  <c r="I28" i="17"/>
  <c r="E28" i="17"/>
  <c r="J19" i="17"/>
  <c r="H28" i="17"/>
  <c r="D28" i="17"/>
  <c r="C6" i="17"/>
  <c r="H14" i="17"/>
  <c r="D14" i="17"/>
  <c r="E29" i="7"/>
  <c r="J9" i="7"/>
  <c r="J12" i="7"/>
  <c r="AN5" i="4"/>
  <c r="AN23" i="4"/>
  <c r="AN19" i="4"/>
  <c r="AN11" i="4"/>
  <c r="AM24" i="4"/>
  <c r="AM23" i="4"/>
  <c r="I6" i="17"/>
  <c r="I6" i="26"/>
  <c r="H6" i="17"/>
  <c r="H6" i="26"/>
  <c r="D6" i="17"/>
  <c r="D6" i="26"/>
  <c r="F3" i="26"/>
  <c r="C14" i="26"/>
  <c r="C6" i="26"/>
  <c r="J28" i="26"/>
  <c r="F28" i="26"/>
  <c r="J19" i="26"/>
  <c r="F17" i="26"/>
  <c r="J6" i="26"/>
  <c r="D3" i="26"/>
  <c r="I17" i="26"/>
  <c r="G6" i="17"/>
  <c r="G6" i="26"/>
  <c r="I20" i="17"/>
  <c r="I20" i="26"/>
  <c r="G17" i="26"/>
  <c r="G14" i="17"/>
  <c r="G14" i="26"/>
  <c r="E3" i="26"/>
  <c r="I28" i="26"/>
  <c r="E28" i="26"/>
  <c r="J20" i="26"/>
  <c r="D17" i="26"/>
  <c r="H14" i="26"/>
  <c r="F6" i="26"/>
  <c r="C3" i="26"/>
  <c r="H28" i="26"/>
  <c r="D28" i="26"/>
  <c r="J17" i="26"/>
  <c r="F14" i="26"/>
  <c r="E6" i="17"/>
  <c r="E6" i="26"/>
  <c r="E14" i="17"/>
  <c r="E14" i="26"/>
  <c r="I3" i="26"/>
  <c r="I19" i="26"/>
  <c r="E17" i="26"/>
  <c r="I14" i="17"/>
  <c r="I14" i="26"/>
  <c r="G3" i="26"/>
  <c r="G28" i="26"/>
  <c r="H17" i="26"/>
  <c r="D14" i="26"/>
  <c r="H3" i="26"/>
  <c r="D18" i="14"/>
  <c r="D9" i="14"/>
  <c r="D3" i="14"/>
  <c r="D29" i="14"/>
  <c r="D25" i="14"/>
  <c r="D20" i="14"/>
  <c r="D15" i="14"/>
  <c r="D11" i="14"/>
  <c r="D7" i="14"/>
  <c r="D28" i="14"/>
  <c r="D23" i="14"/>
  <c r="D19" i="14"/>
  <c r="D14" i="14"/>
  <c r="D10" i="14"/>
  <c r="D6" i="14"/>
  <c r="D22" i="14"/>
  <c r="D27" i="14"/>
  <c r="D13" i="14"/>
  <c r="D5" i="14"/>
  <c r="D26" i="14"/>
  <c r="D21" i="14"/>
  <c r="D17" i="14"/>
  <c r="D12" i="14"/>
  <c r="D8" i="14"/>
  <c r="AN17" i="4"/>
  <c r="AN28" i="4"/>
  <c r="AN25" i="4"/>
  <c r="AN26" i="4"/>
  <c r="AM17" i="4"/>
  <c r="AM16" i="4"/>
  <c r="AM28" i="4"/>
  <c r="AN6" i="4"/>
  <c r="AN27" i="4"/>
  <c r="AN3" i="4"/>
  <c r="AN13" i="4"/>
  <c r="AN24" i="4"/>
  <c r="AN16" i="4"/>
  <c r="AN4" i="4"/>
  <c r="AN7" i="4"/>
  <c r="AN10" i="4"/>
  <c r="AN12" i="4"/>
  <c r="AN15" i="4"/>
  <c r="AN18" i="4"/>
  <c r="AN21" i="4"/>
  <c r="AN20" i="4"/>
  <c r="AM6" i="4"/>
  <c r="AM12" i="4"/>
  <c r="AM27" i="4"/>
  <c r="AM26" i="4"/>
  <c r="AM4" i="4"/>
  <c r="AM11" i="4"/>
  <c r="AM21" i="4"/>
  <c r="AM7" i="4"/>
  <c r="AM9" i="4"/>
  <c r="AM13" i="4"/>
  <c r="AM18" i="4"/>
  <c r="AM25" i="4"/>
  <c r="AM5" i="4"/>
  <c r="AM3" i="4"/>
  <c r="AM8" i="4"/>
  <c r="AM10" i="4"/>
  <c r="AM15" i="4"/>
  <c r="AM19" i="4"/>
  <c r="AM20" i="4"/>
  <c r="AL15" i="4"/>
  <c r="AC11" i="4"/>
  <c r="AB28" i="4"/>
  <c r="AB10" i="4"/>
  <c r="AI28" i="4"/>
  <c r="AI7" i="4"/>
  <c r="AI3" i="4"/>
  <c r="AI8" i="4"/>
  <c r="AL6" i="4"/>
  <c r="D104" i="4"/>
  <c r="D87" i="4"/>
  <c r="D76" i="4"/>
  <c r="D74" i="4"/>
  <c r="D73" i="4"/>
  <c r="F67" i="4"/>
  <c r="G67" i="4" s="1"/>
  <c r="F66" i="4"/>
  <c r="G66" i="4" s="1"/>
  <c r="AH1" i="4"/>
  <c r="F65" i="4"/>
  <c r="H65" i="4"/>
  <c r="G38" i="4"/>
  <c r="F37" i="4"/>
  <c r="G37" i="4" s="1"/>
  <c r="F39" i="4"/>
  <c r="G39" i="4" s="1"/>
  <c r="C12" i="11"/>
  <c r="G12" i="11"/>
  <c r="I12" i="11" s="1"/>
  <c r="J12" i="11" s="1"/>
  <c r="C13" i="11"/>
  <c r="G13" i="11"/>
  <c r="I13" i="11"/>
  <c r="J13" i="11" s="1"/>
  <c r="C14" i="11"/>
  <c r="G14" i="11"/>
  <c r="I14" i="11" s="1"/>
  <c r="J14" i="11" s="1"/>
  <c r="F63" i="4"/>
  <c r="G63" i="4" s="1"/>
  <c r="H38" i="4"/>
  <c r="H39" i="4"/>
  <c r="M1" i="4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F62" i="4"/>
  <c r="G62" i="4" s="1"/>
  <c r="G11" i="11"/>
  <c r="I11" i="11" s="1"/>
  <c r="J11" i="11" s="1"/>
  <c r="C11" i="11"/>
  <c r="F49" i="4"/>
  <c r="G49" i="4" s="1"/>
  <c r="F61" i="4"/>
  <c r="G61" i="4" s="1"/>
  <c r="F60" i="4"/>
  <c r="G60" i="4" s="1"/>
  <c r="F41" i="4"/>
  <c r="G41" i="4" s="1"/>
  <c r="K23" i="4" l="1"/>
  <c r="K22" i="4"/>
  <c r="AG5" i="4"/>
  <c r="AG14" i="4"/>
  <c r="I5" i="4"/>
  <c r="I14" i="4"/>
  <c r="S23" i="4"/>
  <c r="S22" i="4"/>
  <c r="L29" i="17"/>
  <c r="E29" i="17"/>
  <c r="M29" i="17"/>
  <c r="F29" i="7"/>
  <c r="G29" i="7"/>
  <c r="AP6" i="4"/>
  <c r="H27" i="4"/>
  <c r="H18" i="4"/>
  <c r="H17" i="4"/>
  <c r="H16" i="4"/>
  <c r="D106" i="4"/>
  <c r="AJ28" i="4"/>
  <c r="AJ15" i="4"/>
  <c r="K21" i="4"/>
  <c r="K28" i="4"/>
  <c r="K27" i="4"/>
  <c r="AG28" i="4"/>
  <c r="AG13" i="4"/>
  <c r="AD9" i="4"/>
  <c r="AD28" i="4"/>
  <c r="I28" i="4"/>
  <c r="I4" i="4"/>
  <c r="I13" i="4"/>
  <c r="AK7" i="4"/>
  <c r="AK28" i="4"/>
  <c r="AK12" i="4"/>
  <c r="AK8" i="4"/>
  <c r="AK3" i="4"/>
  <c r="AE9" i="4"/>
  <c r="AE28" i="4"/>
  <c r="AF28" i="4"/>
  <c r="AF16" i="4"/>
  <c r="AF17" i="4"/>
  <c r="AF18" i="4"/>
  <c r="G28" i="4"/>
  <c r="G3" i="4"/>
  <c r="S21" i="4"/>
  <c r="S28" i="4"/>
  <c r="H28" i="4"/>
  <c r="AG4" i="4"/>
  <c r="D81" i="4"/>
  <c r="D89" i="4"/>
  <c r="D107" i="4"/>
  <c r="D100" i="4"/>
  <c r="D77" i="4"/>
  <c r="D105" i="4"/>
  <c r="D101" i="4"/>
  <c r="D78" i="4"/>
  <c r="D98" i="4"/>
  <c r="D102" i="4"/>
  <c r="D99" i="4"/>
  <c r="D103" i="4"/>
  <c r="I4" i="11"/>
  <c r="J4" i="11" s="1"/>
  <c r="I8" i="11"/>
  <c r="J8" i="11" s="1"/>
  <c r="I3" i="11"/>
  <c r="J3" i="11" s="1"/>
  <c r="K6" i="1" l="1"/>
  <c r="K6" i="22" s="1"/>
  <c r="K6" i="24" s="1"/>
  <c r="N29" i="17"/>
  <c r="G29" i="17"/>
  <c r="F29" i="17"/>
  <c r="H29" i="7"/>
  <c r="C9" i="11"/>
  <c r="C10" i="11"/>
  <c r="G10" i="11"/>
  <c r="I10" i="11" s="1"/>
  <c r="J10" i="11" s="1"/>
  <c r="K6" i="20" l="1"/>
  <c r="K6" i="17" s="1"/>
  <c r="K6" i="26"/>
  <c r="H29" i="17"/>
  <c r="I29" i="7"/>
  <c r="C3" i="11"/>
  <c r="C6" i="11"/>
  <c r="G3" i="11"/>
  <c r="G4" i="11"/>
  <c r="G5" i="11"/>
  <c r="I5" i="11" s="1"/>
  <c r="J5" i="11" s="1"/>
  <c r="G6" i="11"/>
  <c r="I6" i="11" s="1"/>
  <c r="G7" i="11"/>
  <c r="I7" i="11" s="1"/>
  <c r="J7" i="11" s="1"/>
  <c r="G8" i="11"/>
  <c r="G9" i="11"/>
  <c r="I9" i="11" s="1"/>
  <c r="J9" i="11" s="1"/>
  <c r="A4" i="11"/>
  <c r="A5" i="11" s="1"/>
  <c r="A6" i="11" s="1"/>
  <c r="A7" i="11" s="1"/>
  <c r="A8" i="11" s="1"/>
  <c r="A9" i="11" s="1"/>
  <c r="C4" i="11"/>
  <c r="C5" i="11"/>
  <c r="C7" i="11"/>
  <c r="C8" i="11"/>
  <c r="L8" i="11" l="1"/>
  <c r="J6" i="11"/>
  <c r="O29" i="17"/>
  <c r="P29" i="17"/>
  <c r="I29" i="17"/>
  <c r="J29" i="7"/>
  <c r="F52" i="4"/>
  <c r="G52" i="4" s="1"/>
  <c r="F51" i="4"/>
  <c r="F50" i="4"/>
  <c r="G50" i="4" s="1"/>
  <c r="F42" i="4"/>
  <c r="G42" i="4" s="1"/>
  <c r="F48" i="4"/>
  <c r="G48" i="4" s="1"/>
  <c r="F46" i="4"/>
  <c r="G46" i="4" s="1"/>
  <c r="F45" i="4"/>
  <c r="F44" i="4"/>
  <c r="F35" i="4"/>
  <c r="G35" i="4" s="1"/>
  <c r="F36" i="4"/>
  <c r="F40" i="4"/>
  <c r="F43" i="4"/>
  <c r="G43" i="4" s="1"/>
  <c r="L5" i="4" l="1"/>
  <c r="L14" i="4"/>
  <c r="P23" i="4"/>
  <c r="P22" i="4"/>
  <c r="R14" i="4"/>
  <c r="R22" i="4"/>
  <c r="V23" i="4"/>
  <c r="V22" i="4"/>
  <c r="J29" i="17"/>
  <c r="L29" i="7"/>
  <c r="R5" i="4"/>
  <c r="R23" i="4"/>
  <c r="E7" i="4"/>
  <c r="E8" i="4"/>
  <c r="E28" i="4"/>
  <c r="R28" i="4"/>
  <c r="R20" i="4"/>
  <c r="R19" i="4"/>
  <c r="R27" i="4"/>
  <c r="R24" i="4"/>
  <c r="R21" i="4"/>
  <c r="R18" i="4"/>
  <c r="R4" i="4"/>
  <c r="R17" i="4"/>
  <c r="R13" i="4"/>
  <c r="V28" i="4"/>
  <c r="V24" i="4"/>
  <c r="V21" i="4"/>
  <c r="M28" i="4"/>
  <c r="M7" i="4"/>
  <c r="M12" i="4"/>
  <c r="M8" i="4"/>
  <c r="M3" i="4"/>
  <c r="L13" i="4"/>
  <c r="L3" i="4"/>
  <c r="L28" i="4"/>
  <c r="L16" i="4"/>
  <c r="L4" i="4"/>
  <c r="T16" i="4"/>
  <c r="T28" i="4"/>
  <c r="P21" i="4"/>
  <c r="P28" i="4"/>
  <c r="P27" i="4"/>
  <c r="D86" i="4"/>
  <c r="D75" i="4"/>
  <c r="D92" i="4"/>
  <c r="D82" i="4"/>
  <c r="D83" i="4"/>
  <c r="D88" i="4"/>
  <c r="D79" i="4"/>
  <c r="D90" i="4"/>
  <c r="G51" i="4"/>
  <c r="G45" i="4"/>
  <c r="G44" i="4"/>
  <c r="G40" i="4"/>
  <c r="J23" i="4" l="1"/>
  <c r="J22" i="4"/>
  <c r="O23" i="4"/>
  <c r="O22" i="4"/>
  <c r="U23" i="4"/>
  <c r="U22" i="4"/>
  <c r="Q29" i="17"/>
  <c r="M29" i="7"/>
  <c r="O28" i="4"/>
  <c r="O21" i="4"/>
  <c r="U21" i="4"/>
  <c r="U28" i="4"/>
  <c r="U24" i="4"/>
  <c r="J21" i="4"/>
  <c r="J28" i="4"/>
  <c r="N7" i="4"/>
  <c r="N8" i="4"/>
  <c r="N3" i="4"/>
  <c r="N28" i="4"/>
  <c r="N12" i="4"/>
  <c r="D84" i="4"/>
  <c r="D91" i="4"/>
  <c r="D85" i="4"/>
  <c r="D80" i="4"/>
  <c r="N29" i="7" l="1"/>
  <c r="C8" i="7"/>
  <c r="D8" i="7"/>
  <c r="G8" i="7"/>
  <c r="H8" i="7"/>
  <c r="J8" i="7"/>
  <c r="O29" i="7" l="1"/>
  <c r="F57" i="4"/>
  <c r="G57" i="4" s="1"/>
  <c r="F56" i="4"/>
  <c r="G56" i="4" s="1"/>
  <c r="F55" i="4"/>
  <c r="G55" i="4" s="1"/>
  <c r="F54" i="4"/>
  <c r="F53" i="4"/>
  <c r="G53" i="4" s="1"/>
  <c r="Z23" i="4" l="1"/>
  <c r="Z14" i="4"/>
  <c r="Z22" i="4"/>
  <c r="W23" i="4"/>
  <c r="W14" i="4"/>
  <c r="W22" i="4"/>
  <c r="AA23" i="4"/>
  <c r="AA14" i="4"/>
  <c r="AA22" i="4"/>
  <c r="Y23" i="4"/>
  <c r="Y22" i="4"/>
  <c r="Y14" i="4"/>
  <c r="P29" i="7"/>
  <c r="Y26" i="4"/>
  <c r="Y25" i="4"/>
  <c r="Y5" i="4"/>
  <c r="Z26" i="4"/>
  <c r="Z25" i="4"/>
  <c r="Z5" i="4"/>
  <c r="W5" i="4"/>
  <c r="W26" i="4"/>
  <c r="W25" i="4"/>
  <c r="AA5" i="4"/>
  <c r="AA25" i="4"/>
  <c r="AA26" i="4"/>
  <c r="Y21" i="4"/>
  <c r="Y17" i="4"/>
  <c r="Y15" i="4"/>
  <c r="Y13" i="4"/>
  <c r="Y9" i="4"/>
  <c r="Y28" i="4"/>
  <c r="Y20" i="4"/>
  <c r="Y24" i="4"/>
  <c r="Y16" i="4"/>
  <c r="Y7" i="4"/>
  <c r="Y19" i="4"/>
  <c r="Y11" i="4"/>
  <c r="Y27" i="4"/>
  <c r="Y18" i="4"/>
  <c r="Y4" i="4"/>
  <c r="Y10" i="4"/>
  <c r="Y3" i="4"/>
  <c r="Y12" i="4"/>
  <c r="Y8" i="4"/>
  <c r="Z28" i="4"/>
  <c r="Z20" i="4"/>
  <c r="Z24" i="4"/>
  <c r="Z16" i="4"/>
  <c r="Z7" i="4"/>
  <c r="Z19" i="4"/>
  <c r="Z11" i="4"/>
  <c r="Z27" i="4"/>
  <c r="Z18" i="4"/>
  <c r="Z12" i="4"/>
  <c r="Z8" i="4"/>
  <c r="Z4" i="4"/>
  <c r="Z10" i="4"/>
  <c r="Z3" i="4"/>
  <c r="Z17" i="4"/>
  <c r="Z9" i="4"/>
  <c r="Z21" i="4"/>
  <c r="Z15" i="4"/>
  <c r="Z13" i="4"/>
  <c r="W19" i="4"/>
  <c r="W11" i="4"/>
  <c r="W27" i="4"/>
  <c r="W18" i="4"/>
  <c r="W12" i="4"/>
  <c r="W10" i="4"/>
  <c r="W8" i="4"/>
  <c r="W4" i="4"/>
  <c r="W3" i="4"/>
  <c r="W21" i="4"/>
  <c r="W9" i="4"/>
  <c r="W28" i="4"/>
  <c r="W17" i="4"/>
  <c r="W15" i="4"/>
  <c r="W13" i="4"/>
  <c r="W7" i="4"/>
  <c r="W20" i="4"/>
  <c r="W24" i="4"/>
  <c r="W16" i="4"/>
  <c r="AA19" i="4"/>
  <c r="AA11" i="4"/>
  <c r="AA27" i="4"/>
  <c r="AA18" i="4"/>
  <c r="AA12" i="4"/>
  <c r="AA10" i="4"/>
  <c r="AA8" i="4"/>
  <c r="AA4" i="4"/>
  <c r="AA3" i="4"/>
  <c r="AA21" i="4"/>
  <c r="AA17" i="4"/>
  <c r="AA13" i="4"/>
  <c r="AA28" i="4"/>
  <c r="AA15" i="4"/>
  <c r="AA9" i="4"/>
  <c r="AA7" i="4"/>
  <c r="AA20" i="4"/>
  <c r="AA24" i="4"/>
  <c r="AA16" i="4"/>
  <c r="D96" i="4"/>
  <c r="D93" i="4"/>
  <c r="D97" i="4"/>
  <c r="D95" i="4"/>
  <c r="G54" i="4"/>
  <c r="AP22" i="4" l="1"/>
  <c r="AP14" i="4"/>
  <c r="X23" i="4"/>
  <c r="AP23" i="4" s="1"/>
  <c r="X22" i="4"/>
  <c r="X14" i="4"/>
  <c r="AP25" i="4"/>
  <c r="AP24" i="4"/>
  <c r="C26" i="1" s="1"/>
  <c r="Q29" i="7"/>
  <c r="X5" i="4"/>
  <c r="AP5" i="4" s="1"/>
  <c r="X26" i="4"/>
  <c r="AP26" i="4" s="1"/>
  <c r="C28" i="1" s="1"/>
  <c r="C28" i="22" s="1"/>
  <c r="C28" i="24" s="1"/>
  <c r="X25" i="4"/>
  <c r="X27" i="4"/>
  <c r="AP27" i="4" s="1"/>
  <c r="X18" i="4"/>
  <c r="AP18" i="4" s="1"/>
  <c r="X12" i="4"/>
  <c r="AP12" i="4" s="1"/>
  <c r="X10" i="4"/>
  <c r="AP10" i="4" s="1"/>
  <c r="X8" i="4"/>
  <c r="X4" i="4"/>
  <c r="AP4" i="4" s="1"/>
  <c r="X3" i="4"/>
  <c r="AP3" i="4" s="1"/>
  <c r="R3" i="1" s="1"/>
  <c r="R3" i="22" s="1"/>
  <c r="R3" i="24" s="1"/>
  <c r="X21" i="4"/>
  <c r="AP21" i="4" s="1"/>
  <c r="X17" i="4"/>
  <c r="AP17" i="4" s="1"/>
  <c r="X15" i="4"/>
  <c r="X13" i="4"/>
  <c r="AP13" i="4" s="1"/>
  <c r="X9" i="4"/>
  <c r="X28" i="4"/>
  <c r="AP28" i="4" s="1"/>
  <c r="X20" i="4"/>
  <c r="AP20" i="4" s="1"/>
  <c r="X7" i="4"/>
  <c r="AP7" i="4" s="1"/>
  <c r="X24" i="4"/>
  <c r="X16" i="4"/>
  <c r="AP16" i="4" s="1"/>
  <c r="X19" i="4"/>
  <c r="AP19" i="4" s="1"/>
  <c r="X11" i="4"/>
  <c r="AP11" i="4" s="1"/>
  <c r="AP9" i="4"/>
  <c r="AP8" i="4"/>
  <c r="D94" i="4"/>
  <c r="C28" i="20" l="1"/>
  <c r="C28" i="17" s="1"/>
  <c r="C28" i="26"/>
  <c r="S28" i="26" s="1"/>
  <c r="C29" i="1"/>
  <c r="C29" i="22" s="1"/>
  <c r="C29" i="24" s="1"/>
  <c r="C29" i="26" s="1"/>
  <c r="E29" i="1"/>
  <c r="E29" i="22" s="1"/>
  <c r="E29" i="24" s="1"/>
  <c r="E29" i="26" s="1"/>
  <c r="D29" i="1"/>
  <c r="D29" i="22" s="1"/>
  <c r="D29" i="24" s="1"/>
  <c r="D29" i="26" s="1"/>
  <c r="F29" i="1"/>
  <c r="F29" i="22" s="1"/>
  <c r="F29" i="24" s="1"/>
  <c r="F29" i="26" s="1"/>
  <c r="G29" i="1"/>
  <c r="G29" i="22" s="1"/>
  <c r="G29" i="24" s="1"/>
  <c r="G29" i="26" s="1"/>
  <c r="H29" i="1"/>
  <c r="H29" i="22" s="1"/>
  <c r="H29" i="24" s="1"/>
  <c r="H29" i="26" s="1"/>
  <c r="I29" i="1"/>
  <c r="I29" i="22" s="1"/>
  <c r="I29" i="24" s="1"/>
  <c r="I29" i="26" s="1"/>
  <c r="J29" i="1"/>
  <c r="J29" i="22" s="1"/>
  <c r="J29" i="24" s="1"/>
  <c r="J29" i="26" s="1"/>
  <c r="L29" i="1"/>
  <c r="L29" i="22" s="1"/>
  <c r="L29" i="24" s="1"/>
  <c r="L29" i="26" s="1"/>
  <c r="M29" i="1"/>
  <c r="M29" i="22" s="1"/>
  <c r="M29" i="24" s="1"/>
  <c r="M29" i="26" s="1"/>
  <c r="N29" i="1"/>
  <c r="N29" i="22" s="1"/>
  <c r="N29" i="24" s="1"/>
  <c r="N29" i="26" s="1"/>
  <c r="O29" i="1"/>
  <c r="O29" i="22" s="1"/>
  <c r="O29" i="24" s="1"/>
  <c r="O29" i="26" s="1"/>
  <c r="P29" i="1"/>
  <c r="P29" i="22" s="1"/>
  <c r="P29" i="24" s="1"/>
  <c r="P29" i="26" s="1"/>
  <c r="Q24" i="1"/>
  <c r="Q24" i="22" s="1"/>
  <c r="Q24" i="24" s="1"/>
  <c r="E24" i="1"/>
  <c r="E24" i="22" s="1"/>
  <c r="E24" i="24" s="1"/>
  <c r="D24" i="1"/>
  <c r="D24" i="22" s="1"/>
  <c r="D24" i="24" s="1"/>
  <c r="P24" i="1"/>
  <c r="P24" i="22" s="1"/>
  <c r="P24" i="24" s="1"/>
  <c r="I24" i="1"/>
  <c r="I24" i="22" s="1"/>
  <c r="I24" i="24" s="1"/>
  <c r="C24" i="1"/>
  <c r="C24" i="22" s="1"/>
  <c r="C24" i="24" s="1"/>
  <c r="M24" i="1"/>
  <c r="M24" i="22" s="1"/>
  <c r="M24" i="24" s="1"/>
  <c r="H24" i="1"/>
  <c r="H24" i="22" s="1"/>
  <c r="H24" i="24" s="1"/>
  <c r="J24" i="1"/>
  <c r="J24" i="22" s="1"/>
  <c r="J24" i="24" s="1"/>
  <c r="L24" i="1"/>
  <c r="L24" i="22" s="1"/>
  <c r="L24" i="24" s="1"/>
  <c r="G24" i="1"/>
  <c r="G24" i="22" s="1"/>
  <c r="G24" i="24" s="1"/>
  <c r="O24" i="1"/>
  <c r="O24" i="22" s="1"/>
  <c r="O24" i="24" s="1"/>
  <c r="F24" i="1"/>
  <c r="F24" i="22" s="1"/>
  <c r="F24" i="24" s="1"/>
  <c r="N24" i="1"/>
  <c r="N24" i="22" s="1"/>
  <c r="N24" i="24" s="1"/>
  <c r="C25" i="1"/>
  <c r="C25" i="22" s="1"/>
  <c r="C25" i="24" s="1"/>
  <c r="C25" i="20" s="1"/>
  <c r="D25" i="1"/>
  <c r="D25" i="22" s="1"/>
  <c r="D25" i="24" s="1"/>
  <c r="D25" i="20" s="1"/>
  <c r="E25" i="1"/>
  <c r="E25" i="22" s="1"/>
  <c r="E25" i="24" s="1"/>
  <c r="E25" i="20" s="1"/>
  <c r="E25" i="17" s="1"/>
  <c r="J25" i="1"/>
  <c r="J25" i="22" s="1"/>
  <c r="J25" i="24" s="1"/>
  <c r="J25" i="20" s="1"/>
  <c r="M25" i="1"/>
  <c r="M25" i="22" s="1"/>
  <c r="M25" i="24" s="1"/>
  <c r="P25" i="1"/>
  <c r="P25" i="22" s="1"/>
  <c r="P25" i="24" s="1"/>
  <c r="Q25" i="1"/>
  <c r="Q25" i="22" s="1"/>
  <c r="Q25" i="24" s="1"/>
  <c r="G25" i="1"/>
  <c r="G25" i="22" s="1"/>
  <c r="G25" i="24" s="1"/>
  <c r="G25" i="20" s="1"/>
  <c r="H25" i="1"/>
  <c r="H25" i="22" s="1"/>
  <c r="H25" i="24" s="1"/>
  <c r="H25" i="20" s="1"/>
  <c r="I25" i="1"/>
  <c r="I25" i="22" s="1"/>
  <c r="I25" i="24" s="1"/>
  <c r="I25" i="20" s="1"/>
  <c r="O25" i="1"/>
  <c r="O25" i="22" s="1"/>
  <c r="O25" i="24" s="1"/>
  <c r="L25" i="1"/>
  <c r="L25" i="22" s="1"/>
  <c r="L25" i="24" s="1"/>
  <c r="N25" i="1"/>
  <c r="N25" i="22" s="1"/>
  <c r="N25" i="24" s="1"/>
  <c r="F25" i="1"/>
  <c r="F25" i="22" s="1"/>
  <c r="F25" i="24" s="1"/>
  <c r="F25" i="20" s="1"/>
  <c r="M21" i="1"/>
  <c r="M21" i="22" s="1"/>
  <c r="M21" i="24" s="1"/>
  <c r="M21" i="20" s="1"/>
  <c r="Q21" i="1"/>
  <c r="Q21" i="22" s="1"/>
  <c r="Q21" i="24" s="1"/>
  <c r="Q21" i="20" s="1"/>
  <c r="N21" i="1"/>
  <c r="N21" i="22" s="1"/>
  <c r="N21" i="24" s="1"/>
  <c r="N21" i="20" s="1"/>
  <c r="O21" i="1"/>
  <c r="O21" i="22" s="1"/>
  <c r="O21" i="24" s="1"/>
  <c r="O21" i="20" s="1"/>
  <c r="P21" i="1"/>
  <c r="P21" i="22" s="1"/>
  <c r="P21" i="24" s="1"/>
  <c r="P21" i="20" s="1"/>
  <c r="L21" i="1"/>
  <c r="L21" i="22" s="1"/>
  <c r="L21" i="24" s="1"/>
  <c r="L21" i="20" s="1"/>
  <c r="O22" i="1"/>
  <c r="O22" i="22" s="1"/>
  <c r="O22" i="24" s="1"/>
  <c r="O22" i="20" s="1"/>
  <c r="L22" i="1"/>
  <c r="L22" i="22" s="1"/>
  <c r="L22" i="24" s="1"/>
  <c r="L22" i="20" s="1"/>
  <c r="P22" i="1"/>
  <c r="P22" i="22" s="1"/>
  <c r="P22" i="24" s="1"/>
  <c r="P22" i="20" s="1"/>
  <c r="M22" i="1"/>
  <c r="M22" i="22" s="1"/>
  <c r="M22" i="24" s="1"/>
  <c r="M22" i="20" s="1"/>
  <c r="Q22" i="1"/>
  <c r="Q22" i="22" s="1"/>
  <c r="Q22" i="24" s="1"/>
  <c r="Q22" i="20" s="1"/>
  <c r="N22" i="1"/>
  <c r="N22" i="22" s="1"/>
  <c r="N22" i="24" s="1"/>
  <c r="N22" i="20" s="1"/>
  <c r="Q29" i="1"/>
  <c r="Q29" i="22" s="1"/>
  <c r="Q29" i="24" s="1"/>
  <c r="Q29" i="26" s="1"/>
  <c r="D27" i="1"/>
  <c r="D27" i="22" s="1"/>
  <c r="D27" i="24" s="1"/>
  <c r="F27" i="1"/>
  <c r="F27" i="22" s="1"/>
  <c r="F27" i="24" s="1"/>
  <c r="C27" i="1"/>
  <c r="C27" i="22" s="1"/>
  <c r="C27" i="24" s="1"/>
  <c r="G27" i="1"/>
  <c r="G27" i="22" s="1"/>
  <c r="G27" i="24" s="1"/>
  <c r="I27" i="1"/>
  <c r="I27" i="22" s="1"/>
  <c r="I27" i="24" s="1"/>
  <c r="J27" i="1"/>
  <c r="J27" i="22" s="1"/>
  <c r="J27" i="24" s="1"/>
  <c r="E27" i="1"/>
  <c r="E27" i="22" s="1"/>
  <c r="E27" i="24" s="1"/>
  <c r="H27" i="1"/>
  <c r="H27" i="22" s="1"/>
  <c r="H27" i="24" s="1"/>
  <c r="D16" i="1"/>
  <c r="D16" i="22" s="1"/>
  <c r="D16" i="24" s="1"/>
  <c r="Q16" i="1"/>
  <c r="Q16" i="22" s="1"/>
  <c r="Q16" i="24" s="1"/>
  <c r="Q16" i="26" s="1"/>
  <c r="C16" i="1"/>
  <c r="C16" i="22" s="1"/>
  <c r="C16" i="24" s="1"/>
  <c r="J16" i="1"/>
  <c r="J16" i="22" s="1"/>
  <c r="J16" i="24" s="1"/>
  <c r="L16" i="1"/>
  <c r="L16" i="22" s="1"/>
  <c r="L16" i="24" s="1"/>
  <c r="L16" i="26" s="1"/>
  <c r="E16" i="1"/>
  <c r="E16" i="22" s="1"/>
  <c r="E16" i="24" s="1"/>
  <c r="G16" i="1"/>
  <c r="G16" i="22" s="1"/>
  <c r="G16" i="24" s="1"/>
  <c r="N16" i="1"/>
  <c r="N16" i="22" s="1"/>
  <c r="N16" i="24" s="1"/>
  <c r="N16" i="26" s="1"/>
  <c r="O16" i="1"/>
  <c r="O16" i="22" s="1"/>
  <c r="O16" i="24" s="1"/>
  <c r="O16" i="26" s="1"/>
  <c r="H16" i="1"/>
  <c r="H16" i="22" s="1"/>
  <c r="H16" i="24" s="1"/>
  <c r="P16" i="1"/>
  <c r="P16" i="22" s="1"/>
  <c r="P16" i="24" s="1"/>
  <c r="P16" i="26" s="1"/>
  <c r="M16" i="1"/>
  <c r="M16" i="22" s="1"/>
  <c r="M16" i="24" s="1"/>
  <c r="M16" i="26" s="1"/>
  <c r="K16" i="1"/>
  <c r="K16" i="22" s="1"/>
  <c r="K16" i="24" s="1"/>
  <c r="K16" i="26" s="1"/>
  <c r="I16" i="1"/>
  <c r="I16" i="22" s="1"/>
  <c r="I16" i="24" s="1"/>
  <c r="F16" i="1"/>
  <c r="F16" i="22" s="1"/>
  <c r="F16" i="24" s="1"/>
  <c r="R3" i="20"/>
  <c r="R3" i="17" s="1"/>
  <c r="R3" i="26"/>
  <c r="AP15" i="4"/>
  <c r="C17" i="1" s="1"/>
  <c r="C17" i="22" s="1"/>
  <c r="C17" i="24" s="1"/>
  <c r="F26" i="1"/>
  <c r="F26" i="22" s="1"/>
  <c r="F26" i="24" s="1"/>
  <c r="F26" i="20" s="1"/>
  <c r="C26" i="22"/>
  <c r="C26" i="24" s="1"/>
  <c r="C26" i="20" s="1"/>
  <c r="M26" i="1"/>
  <c r="M26" i="22" s="1"/>
  <c r="M26" i="24" s="1"/>
  <c r="P26" i="1"/>
  <c r="P26" i="22" s="1"/>
  <c r="P26" i="24" s="1"/>
  <c r="Q26" i="1"/>
  <c r="Q26" i="22" s="1"/>
  <c r="Q26" i="24" s="1"/>
  <c r="D26" i="1"/>
  <c r="L26" i="1"/>
  <c r="L26" i="22" s="1"/>
  <c r="L26" i="24" s="1"/>
  <c r="O26" i="1"/>
  <c r="O26" i="22" s="1"/>
  <c r="O26" i="24" s="1"/>
  <c r="I26" i="1"/>
  <c r="I26" i="22" s="1"/>
  <c r="I26" i="24" s="1"/>
  <c r="I26" i="20" s="1"/>
  <c r="N26" i="1"/>
  <c r="N26" i="22" s="1"/>
  <c r="N26" i="24" s="1"/>
  <c r="H26" i="1"/>
  <c r="H26" i="22" s="1"/>
  <c r="H26" i="24" s="1"/>
  <c r="H26" i="20" s="1"/>
  <c r="G26" i="1"/>
  <c r="J26" i="1"/>
  <c r="J26" i="22" s="1"/>
  <c r="J26" i="24" s="1"/>
  <c r="J26" i="20" s="1"/>
  <c r="E26" i="1"/>
  <c r="E26" i="22" s="1"/>
  <c r="E26" i="24" s="1"/>
  <c r="E26" i="20" s="1"/>
  <c r="Q11" i="1"/>
  <c r="Q11" i="22" s="1"/>
  <c r="Q11" i="24" s="1"/>
  <c r="L11" i="1"/>
  <c r="L11" i="22" s="1"/>
  <c r="L11" i="24" s="1"/>
  <c r="O11" i="1"/>
  <c r="O11" i="22" s="1"/>
  <c r="O11" i="24" s="1"/>
  <c r="E11" i="1"/>
  <c r="M11" i="1"/>
  <c r="M11" i="22" s="1"/>
  <c r="M11" i="24" s="1"/>
  <c r="G11" i="1"/>
  <c r="J11" i="1"/>
  <c r="H11" i="1"/>
  <c r="F11" i="1"/>
  <c r="C11" i="1"/>
  <c r="N11" i="1"/>
  <c r="N11" i="22" s="1"/>
  <c r="N11" i="24" s="1"/>
  <c r="I11" i="1"/>
  <c r="D11" i="1"/>
  <c r="P11" i="1"/>
  <c r="P11" i="22" s="1"/>
  <c r="P11" i="24" s="1"/>
  <c r="H7" i="1"/>
  <c r="J7" i="1"/>
  <c r="L7" i="1"/>
  <c r="L7" i="22" s="1"/>
  <c r="L7" i="24" s="1"/>
  <c r="F7" i="1"/>
  <c r="I7" i="1"/>
  <c r="I7" i="22" s="1"/>
  <c r="I7" i="24" s="1"/>
  <c r="I7" i="20" s="1"/>
  <c r="G7" i="1"/>
  <c r="K7" i="1"/>
  <c r="K7" i="22" s="1"/>
  <c r="K7" i="24" s="1"/>
  <c r="K7" i="26" s="1"/>
  <c r="C7" i="1"/>
  <c r="E7" i="1"/>
  <c r="D7" i="1"/>
  <c r="L15" i="1"/>
  <c r="L15" i="22" s="1"/>
  <c r="L15" i="24" s="1"/>
  <c r="O15" i="1"/>
  <c r="O15" i="22" s="1"/>
  <c r="O15" i="24" s="1"/>
  <c r="Q15" i="1"/>
  <c r="Q15" i="22" s="1"/>
  <c r="Q15" i="24" s="1"/>
  <c r="H15" i="1"/>
  <c r="H15" i="22" s="1"/>
  <c r="H15" i="24" s="1"/>
  <c r="H15" i="20" s="1"/>
  <c r="G15" i="1"/>
  <c r="G15" i="22" s="1"/>
  <c r="G15" i="24" s="1"/>
  <c r="G15" i="20" s="1"/>
  <c r="N15" i="1"/>
  <c r="N15" i="22" s="1"/>
  <c r="N15" i="24" s="1"/>
  <c r="C15" i="1"/>
  <c r="C15" i="22" s="1"/>
  <c r="C15" i="24" s="1"/>
  <c r="C15" i="20" s="1"/>
  <c r="M15" i="1"/>
  <c r="M15" i="22" s="1"/>
  <c r="M15" i="24" s="1"/>
  <c r="D15" i="1"/>
  <c r="D15" i="22" s="1"/>
  <c r="D15" i="24" s="1"/>
  <c r="D15" i="20" s="1"/>
  <c r="J15" i="1"/>
  <c r="J15" i="22" s="1"/>
  <c r="J15" i="24" s="1"/>
  <c r="J15" i="20" s="1"/>
  <c r="F15" i="1"/>
  <c r="I15" i="1"/>
  <c r="I15" i="22" s="1"/>
  <c r="I15" i="24" s="1"/>
  <c r="I15" i="20" s="1"/>
  <c r="P15" i="1"/>
  <c r="P15" i="22" s="1"/>
  <c r="P15" i="24" s="1"/>
  <c r="K15" i="1"/>
  <c r="K15" i="22" s="1"/>
  <c r="K15" i="24" s="1"/>
  <c r="E15" i="1"/>
  <c r="E15" i="22" s="1"/>
  <c r="E15" i="24" s="1"/>
  <c r="E15" i="20" s="1"/>
  <c r="K3" i="1"/>
  <c r="K3" i="22" s="1"/>
  <c r="K3" i="24" s="1"/>
  <c r="K3" i="20" s="1"/>
  <c r="Q3" i="1"/>
  <c r="Q3" i="22" s="1"/>
  <c r="Q3" i="24" s="1"/>
  <c r="Q3" i="20" s="1"/>
  <c r="P3" i="1"/>
  <c r="P3" i="22" s="1"/>
  <c r="P3" i="24" s="1"/>
  <c r="P3" i="20" s="1"/>
  <c r="M3" i="1"/>
  <c r="M3" i="22" s="1"/>
  <c r="M3" i="24" s="1"/>
  <c r="M3" i="20" s="1"/>
  <c r="L3" i="1"/>
  <c r="L3" i="22" s="1"/>
  <c r="L3" i="24" s="1"/>
  <c r="L3" i="20" s="1"/>
  <c r="N3" i="1"/>
  <c r="N3" i="22" s="1"/>
  <c r="N3" i="24" s="1"/>
  <c r="N3" i="20" s="1"/>
  <c r="J3" i="1"/>
  <c r="J3" i="22" s="1"/>
  <c r="J3" i="24" s="1"/>
  <c r="J3" i="20" s="1"/>
  <c r="O3" i="1"/>
  <c r="O3" i="22" s="1"/>
  <c r="O3" i="24" s="1"/>
  <c r="O3" i="20" s="1"/>
  <c r="J14" i="1"/>
  <c r="J14" i="22" s="1"/>
  <c r="J14" i="24" s="1"/>
  <c r="J14" i="20" s="1"/>
  <c r="L14" i="1"/>
  <c r="L14" i="22" s="1"/>
  <c r="L14" i="24" s="1"/>
  <c r="O14" i="1"/>
  <c r="O14" i="22" s="1"/>
  <c r="O14" i="24" s="1"/>
  <c r="K14" i="1"/>
  <c r="K14" i="22" s="1"/>
  <c r="K14" i="24" s="1"/>
  <c r="Q14" i="1"/>
  <c r="Q14" i="22" s="1"/>
  <c r="Q14" i="24" s="1"/>
  <c r="P14" i="1"/>
  <c r="P14" i="22" s="1"/>
  <c r="P14" i="24" s="1"/>
  <c r="M14" i="1"/>
  <c r="M14" i="22" s="1"/>
  <c r="M14" i="24" s="1"/>
  <c r="N14" i="1"/>
  <c r="N14" i="22" s="1"/>
  <c r="N14" i="24" s="1"/>
  <c r="O10" i="1"/>
  <c r="O10" i="22" s="1"/>
  <c r="O10" i="24" s="1"/>
  <c r="M9" i="1"/>
  <c r="M9" i="22" s="1"/>
  <c r="M9" i="24" s="1"/>
  <c r="C9" i="1"/>
  <c r="C9" i="22" s="1"/>
  <c r="C9" i="24" s="1"/>
  <c r="C9" i="20" s="1"/>
  <c r="I10" i="1"/>
  <c r="I10" i="22" s="1"/>
  <c r="I10" i="24" s="1"/>
  <c r="I10" i="20" s="1"/>
  <c r="G9" i="1"/>
  <c r="G9" i="22" s="1"/>
  <c r="G9" i="24" s="1"/>
  <c r="G9" i="20" s="1"/>
  <c r="M10" i="1"/>
  <c r="M10" i="22" s="1"/>
  <c r="M10" i="24" s="1"/>
  <c r="J9" i="1"/>
  <c r="J9" i="22" s="1"/>
  <c r="J9" i="24" s="1"/>
  <c r="J9" i="20" s="1"/>
  <c r="H9" i="1"/>
  <c r="H9" i="22" s="1"/>
  <c r="H9" i="24" s="1"/>
  <c r="H9" i="20" s="1"/>
  <c r="C10" i="1"/>
  <c r="C10" i="22" s="1"/>
  <c r="C10" i="24" s="1"/>
  <c r="C10" i="20" s="1"/>
  <c r="J10" i="1"/>
  <c r="J10" i="22" s="1"/>
  <c r="J10" i="24" s="1"/>
  <c r="J10" i="20" s="1"/>
  <c r="E10" i="1"/>
  <c r="E10" i="22" s="1"/>
  <c r="E10" i="24" s="1"/>
  <c r="E10" i="20" s="1"/>
  <c r="H10" i="1"/>
  <c r="H10" i="22" s="1"/>
  <c r="H10" i="24" s="1"/>
  <c r="H10" i="20" s="1"/>
  <c r="F9" i="1"/>
  <c r="F9" i="22" s="1"/>
  <c r="F9" i="24" s="1"/>
  <c r="F9" i="20" s="1"/>
  <c r="P10" i="1"/>
  <c r="P10" i="22" s="1"/>
  <c r="P10" i="24" s="1"/>
  <c r="N9" i="1"/>
  <c r="N9" i="22" s="1"/>
  <c r="N9" i="24" s="1"/>
  <c r="D9" i="1"/>
  <c r="D9" i="22" s="1"/>
  <c r="D9" i="24" s="1"/>
  <c r="D9" i="20" s="1"/>
  <c r="F10" i="1"/>
  <c r="F10" i="22" s="1"/>
  <c r="F10" i="24" s="1"/>
  <c r="F10" i="20" s="1"/>
  <c r="P9" i="1"/>
  <c r="P9" i="22" s="1"/>
  <c r="P9" i="24" s="1"/>
  <c r="D10" i="1"/>
  <c r="D10" i="22" s="1"/>
  <c r="D10" i="24" s="1"/>
  <c r="D10" i="20" s="1"/>
  <c r="L10" i="1"/>
  <c r="L10" i="22" s="1"/>
  <c r="L10" i="24" s="1"/>
  <c r="I9" i="1"/>
  <c r="I9" i="22" s="1"/>
  <c r="I9" i="24" s="1"/>
  <c r="I9" i="20" s="1"/>
  <c r="O9" i="1"/>
  <c r="O9" i="22" s="1"/>
  <c r="O9" i="24" s="1"/>
  <c r="E9" i="1"/>
  <c r="E9" i="22" s="1"/>
  <c r="E9" i="24" s="1"/>
  <c r="E9" i="20" s="1"/>
  <c r="Q9" i="1"/>
  <c r="Q9" i="22" s="1"/>
  <c r="Q9" i="24" s="1"/>
  <c r="L9" i="1"/>
  <c r="L9" i="22" s="1"/>
  <c r="L9" i="24" s="1"/>
  <c r="Q10" i="1"/>
  <c r="Q10" i="22" s="1"/>
  <c r="Q10" i="24" s="1"/>
  <c r="G10" i="1"/>
  <c r="G10" i="22" s="1"/>
  <c r="G10" i="24" s="1"/>
  <c r="G10" i="20" s="1"/>
  <c r="N10" i="1"/>
  <c r="N10" i="22" s="1"/>
  <c r="N10" i="24" s="1"/>
  <c r="Q5" i="1"/>
  <c r="Q5" i="22" s="1"/>
  <c r="Q5" i="24" s="1"/>
  <c r="Q5" i="26" s="1"/>
  <c r="P5" i="1"/>
  <c r="P5" i="22" s="1"/>
  <c r="P5" i="24" s="1"/>
  <c r="P5" i="26" s="1"/>
  <c r="J5" i="1"/>
  <c r="J5" i="22" s="1"/>
  <c r="J5" i="24" s="1"/>
  <c r="J5" i="20" s="1"/>
  <c r="E5" i="1"/>
  <c r="E5" i="22" s="1"/>
  <c r="E5" i="24" s="1"/>
  <c r="E5" i="20" s="1"/>
  <c r="H5" i="1"/>
  <c r="H5" i="22" s="1"/>
  <c r="H5" i="24" s="1"/>
  <c r="H5" i="20" s="1"/>
  <c r="C5" i="1"/>
  <c r="C5" i="22" s="1"/>
  <c r="C5" i="24" s="1"/>
  <c r="C5" i="20" s="1"/>
  <c r="L5" i="1"/>
  <c r="L5" i="22" s="1"/>
  <c r="L5" i="24" s="1"/>
  <c r="F5" i="1"/>
  <c r="F5" i="22" s="1"/>
  <c r="F5" i="24" s="1"/>
  <c r="F5" i="20" s="1"/>
  <c r="M5" i="1"/>
  <c r="M5" i="22" s="1"/>
  <c r="M5" i="24" s="1"/>
  <c r="M5" i="26" s="1"/>
  <c r="D5" i="1"/>
  <c r="D5" i="22" s="1"/>
  <c r="D5" i="24" s="1"/>
  <c r="D5" i="20" s="1"/>
  <c r="G5" i="1"/>
  <c r="G5" i="22" s="1"/>
  <c r="G5" i="24" s="1"/>
  <c r="G5" i="20" s="1"/>
  <c r="N5" i="1"/>
  <c r="N5" i="22" s="1"/>
  <c r="N5" i="24" s="1"/>
  <c r="N5" i="26" s="1"/>
  <c r="O5" i="1"/>
  <c r="O5" i="22" s="1"/>
  <c r="O5" i="24" s="1"/>
  <c r="O5" i="26" s="1"/>
  <c r="I5" i="1"/>
  <c r="I5" i="22" s="1"/>
  <c r="I5" i="24" s="1"/>
  <c r="I5" i="20" s="1"/>
  <c r="E21" i="1"/>
  <c r="E21" i="22" s="1"/>
  <c r="E21" i="24" s="1"/>
  <c r="E21" i="20" s="1"/>
  <c r="I21" i="1"/>
  <c r="I21" i="22" s="1"/>
  <c r="I21" i="24" s="1"/>
  <c r="I21" i="20" s="1"/>
  <c r="F21" i="1"/>
  <c r="F21" i="22" s="1"/>
  <c r="F21" i="24" s="1"/>
  <c r="F21" i="20" s="1"/>
  <c r="J21" i="1"/>
  <c r="J21" i="22" s="1"/>
  <c r="J21" i="24" s="1"/>
  <c r="J21" i="20" s="1"/>
  <c r="G21" i="1"/>
  <c r="G21" i="22" s="1"/>
  <c r="G21" i="24" s="1"/>
  <c r="G21" i="20" s="1"/>
  <c r="H21" i="1"/>
  <c r="H21" i="22" s="1"/>
  <c r="H21" i="24" s="1"/>
  <c r="H21" i="20" s="1"/>
  <c r="C21" i="1"/>
  <c r="C21" i="22" s="1"/>
  <c r="C21" i="24" s="1"/>
  <c r="C21" i="20" s="1"/>
  <c r="D21" i="1"/>
  <c r="D21" i="22" s="1"/>
  <c r="D21" i="24" s="1"/>
  <c r="D21" i="20" s="1"/>
  <c r="F4" i="1"/>
  <c r="F4" i="22" s="1"/>
  <c r="F4" i="24" s="1"/>
  <c r="F4" i="20" s="1"/>
  <c r="N4" i="1"/>
  <c r="N4" i="22" s="1"/>
  <c r="N4" i="24" s="1"/>
  <c r="C4" i="1"/>
  <c r="C4" i="22" s="1"/>
  <c r="C4" i="24" s="1"/>
  <c r="C4" i="20" s="1"/>
  <c r="H4" i="1"/>
  <c r="H4" i="22" s="1"/>
  <c r="H4" i="24" s="1"/>
  <c r="H4" i="20" s="1"/>
  <c r="I4" i="1"/>
  <c r="I4" i="22" s="1"/>
  <c r="I4" i="24" s="1"/>
  <c r="I4" i="20" s="1"/>
  <c r="D4" i="1"/>
  <c r="D4" i="22" s="1"/>
  <c r="D4" i="24" s="1"/>
  <c r="D4" i="20" s="1"/>
  <c r="P4" i="1"/>
  <c r="P4" i="22" s="1"/>
  <c r="P4" i="24" s="1"/>
  <c r="E4" i="1"/>
  <c r="E4" i="22" s="1"/>
  <c r="E4" i="24" s="1"/>
  <c r="E4" i="20" s="1"/>
  <c r="Q4" i="1"/>
  <c r="Q4" i="22" s="1"/>
  <c r="Q4" i="24" s="1"/>
  <c r="L4" i="1"/>
  <c r="L4" i="22" s="1"/>
  <c r="L4" i="24" s="1"/>
  <c r="O4" i="1"/>
  <c r="O4" i="22" s="1"/>
  <c r="O4" i="24" s="1"/>
  <c r="J4" i="1"/>
  <c r="J4" i="22" s="1"/>
  <c r="J4" i="24" s="1"/>
  <c r="J4" i="20" s="1"/>
  <c r="M4" i="1"/>
  <c r="M4" i="22" s="1"/>
  <c r="M4" i="24" s="1"/>
  <c r="G4" i="1"/>
  <c r="G4" i="22" s="1"/>
  <c r="G4" i="24" s="1"/>
  <c r="G4" i="20" s="1"/>
  <c r="H20" i="1"/>
  <c r="H20" i="22" s="1"/>
  <c r="H20" i="24" s="1"/>
  <c r="G20" i="1"/>
  <c r="G20" i="22" s="1"/>
  <c r="G20" i="24" s="1"/>
  <c r="C20" i="1"/>
  <c r="C20" i="22" s="1"/>
  <c r="C20" i="24" s="1"/>
  <c r="D20" i="1"/>
  <c r="D20" i="22" s="1"/>
  <c r="D20" i="24" s="1"/>
  <c r="D20" i="20" s="1"/>
  <c r="F20" i="1"/>
  <c r="F20" i="22" s="1"/>
  <c r="F20" i="24" s="1"/>
  <c r="F20" i="20" s="1"/>
  <c r="E20" i="1"/>
  <c r="E20" i="22" s="1"/>
  <c r="E20" i="24" s="1"/>
  <c r="E20" i="20" s="1"/>
  <c r="J25" i="17"/>
  <c r="J25" i="26"/>
  <c r="I25" i="17"/>
  <c r="I25" i="26"/>
  <c r="H25" i="17"/>
  <c r="H25" i="26"/>
  <c r="G25" i="17"/>
  <c r="G25" i="26"/>
  <c r="N23" i="1"/>
  <c r="N23" i="22" s="1"/>
  <c r="N23" i="24" s="1"/>
  <c r="H23" i="1"/>
  <c r="H23" i="22" s="1"/>
  <c r="H23" i="24" s="1"/>
  <c r="H23" i="20" s="1"/>
  <c r="L23" i="1"/>
  <c r="L23" i="22" s="1"/>
  <c r="L23" i="24" s="1"/>
  <c r="O23" i="1"/>
  <c r="O23" i="22" s="1"/>
  <c r="O23" i="24" s="1"/>
  <c r="E23" i="1"/>
  <c r="E23" i="22" s="1"/>
  <c r="E23" i="24" s="1"/>
  <c r="E23" i="20" s="1"/>
  <c r="G23" i="1"/>
  <c r="G23" i="22" s="1"/>
  <c r="G23" i="24" s="1"/>
  <c r="G23" i="20" s="1"/>
  <c r="J23" i="1"/>
  <c r="J23" i="22" s="1"/>
  <c r="J23" i="24" s="1"/>
  <c r="J23" i="20" s="1"/>
  <c r="M23" i="1"/>
  <c r="M23" i="22" s="1"/>
  <c r="M23" i="24" s="1"/>
  <c r="C23" i="1"/>
  <c r="C23" i="22" s="1"/>
  <c r="C23" i="24" s="1"/>
  <c r="C23" i="20" s="1"/>
  <c r="I23" i="1"/>
  <c r="I23" i="22" s="1"/>
  <c r="I23" i="24" s="1"/>
  <c r="I23" i="20" s="1"/>
  <c r="P23" i="1"/>
  <c r="P23" i="22" s="1"/>
  <c r="P23" i="24" s="1"/>
  <c r="D23" i="1"/>
  <c r="D23" i="22" s="1"/>
  <c r="D23" i="24" s="1"/>
  <c r="D23" i="20" s="1"/>
  <c r="Q23" i="1"/>
  <c r="Q23" i="22" s="1"/>
  <c r="Q23" i="24" s="1"/>
  <c r="F23" i="1"/>
  <c r="F23" i="22" s="1"/>
  <c r="F23" i="24" s="1"/>
  <c r="F23" i="20" s="1"/>
  <c r="D13" i="1"/>
  <c r="C13" i="1"/>
  <c r="P13" i="1"/>
  <c r="P13" i="22" s="1"/>
  <c r="P13" i="24" s="1"/>
  <c r="N12" i="1"/>
  <c r="N12" i="22" s="1"/>
  <c r="N12" i="24" s="1"/>
  <c r="Q12" i="1"/>
  <c r="Q12" i="22" s="1"/>
  <c r="Q12" i="24" s="1"/>
  <c r="I13" i="1"/>
  <c r="G12" i="1"/>
  <c r="Q13" i="1"/>
  <c r="Q13" i="22" s="1"/>
  <c r="Q13" i="24" s="1"/>
  <c r="O12" i="1"/>
  <c r="O12" i="22" s="1"/>
  <c r="O12" i="24" s="1"/>
  <c r="L13" i="1"/>
  <c r="L13" i="22" s="1"/>
  <c r="L13" i="24" s="1"/>
  <c r="I12" i="1"/>
  <c r="O13" i="1"/>
  <c r="O13" i="22" s="1"/>
  <c r="O13" i="24" s="1"/>
  <c r="M12" i="1"/>
  <c r="M12" i="22" s="1"/>
  <c r="M12" i="24" s="1"/>
  <c r="E13" i="1"/>
  <c r="M13" i="1"/>
  <c r="M13" i="22" s="1"/>
  <c r="M13" i="24" s="1"/>
  <c r="J12" i="1"/>
  <c r="G13" i="1"/>
  <c r="E12" i="1"/>
  <c r="C12" i="1"/>
  <c r="J13" i="1"/>
  <c r="H12" i="1"/>
  <c r="P12" i="1"/>
  <c r="P12" i="22" s="1"/>
  <c r="P12" i="24" s="1"/>
  <c r="F12" i="1"/>
  <c r="N13" i="1"/>
  <c r="N13" i="22" s="1"/>
  <c r="N13" i="24" s="1"/>
  <c r="D12" i="1"/>
  <c r="H13" i="1"/>
  <c r="F13" i="1"/>
  <c r="L12" i="1"/>
  <c r="L12" i="22" s="1"/>
  <c r="L12" i="24" s="1"/>
  <c r="F22" i="1"/>
  <c r="F22" i="22" s="1"/>
  <c r="F22" i="24" s="1"/>
  <c r="F22" i="20" s="1"/>
  <c r="J22" i="1"/>
  <c r="J22" i="22" s="1"/>
  <c r="J22" i="24" s="1"/>
  <c r="J22" i="20" s="1"/>
  <c r="C22" i="1"/>
  <c r="C22" i="22" s="1"/>
  <c r="C22" i="24" s="1"/>
  <c r="C22" i="20" s="1"/>
  <c r="G22" i="1"/>
  <c r="G22" i="22" s="1"/>
  <c r="G22" i="24" s="1"/>
  <c r="G22" i="20" s="1"/>
  <c r="H22" i="1"/>
  <c r="H22" i="22" s="1"/>
  <c r="H22" i="24" s="1"/>
  <c r="H22" i="20" s="1"/>
  <c r="I22" i="1"/>
  <c r="I22" i="22" s="1"/>
  <c r="I22" i="24" s="1"/>
  <c r="I22" i="20" s="1"/>
  <c r="D22" i="1"/>
  <c r="D22" i="22" s="1"/>
  <c r="D22" i="24" s="1"/>
  <c r="D22" i="20" s="1"/>
  <c r="E22" i="1"/>
  <c r="E22" i="22" s="1"/>
  <c r="E22" i="24" s="1"/>
  <c r="E22" i="20" s="1"/>
  <c r="J8" i="1"/>
  <c r="J8" i="22" s="1"/>
  <c r="J8" i="24" s="1"/>
  <c r="J8" i="20" s="1"/>
  <c r="D8" i="1"/>
  <c r="D8" i="22" s="1"/>
  <c r="D8" i="24" s="1"/>
  <c r="D8" i="20" s="1"/>
  <c r="K8" i="1"/>
  <c r="K8" i="22" s="1"/>
  <c r="K8" i="24" s="1"/>
  <c r="K8" i="26" s="1"/>
  <c r="F8" i="1"/>
  <c r="F8" i="22" s="1"/>
  <c r="F8" i="24" s="1"/>
  <c r="F8" i="20" s="1"/>
  <c r="I8" i="1"/>
  <c r="I8" i="22" s="1"/>
  <c r="I8" i="24" s="1"/>
  <c r="I8" i="20" s="1"/>
  <c r="G8" i="1"/>
  <c r="G8" i="22" s="1"/>
  <c r="G8" i="24" s="1"/>
  <c r="G8" i="20" s="1"/>
  <c r="E8" i="1"/>
  <c r="E8" i="22" s="1"/>
  <c r="E8" i="24" s="1"/>
  <c r="E8" i="20" s="1"/>
  <c r="L8" i="1"/>
  <c r="L8" i="22" s="1"/>
  <c r="L8" i="24" s="1"/>
  <c r="C8" i="1"/>
  <c r="C8" i="22" s="1"/>
  <c r="C8" i="24" s="1"/>
  <c r="C8" i="20" s="1"/>
  <c r="H8" i="1"/>
  <c r="H8" i="22" s="1"/>
  <c r="H8" i="24" s="1"/>
  <c r="H8" i="20" s="1"/>
  <c r="M18" i="1"/>
  <c r="M18" i="22" s="1"/>
  <c r="M18" i="24" s="1"/>
  <c r="F18" i="1"/>
  <c r="H18" i="1"/>
  <c r="P18" i="1"/>
  <c r="P18" i="22" s="1"/>
  <c r="P18" i="24" s="1"/>
  <c r="O18" i="1"/>
  <c r="O18" i="22" s="1"/>
  <c r="O18" i="24" s="1"/>
  <c r="N18" i="1"/>
  <c r="N18" i="22" s="1"/>
  <c r="N18" i="24" s="1"/>
  <c r="D18" i="1"/>
  <c r="G18" i="1"/>
  <c r="I18" i="1"/>
  <c r="Q18" i="1"/>
  <c r="Q18" i="22" s="1"/>
  <c r="Q18" i="24" s="1"/>
  <c r="C18" i="1"/>
  <c r="L18" i="1"/>
  <c r="L18" i="22" s="1"/>
  <c r="L18" i="24" s="1"/>
  <c r="E18" i="1"/>
  <c r="J18" i="1"/>
  <c r="C19" i="1"/>
  <c r="C19" i="22" s="1"/>
  <c r="C19" i="24" s="1"/>
  <c r="C19" i="20" s="1"/>
  <c r="H19" i="1"/>
  <c r="H19" i="22" s="1"/>
  <c r="H19" i="24" s="1"/>
  <c r="H19" i="20" s="1"/>
  <c r="F19" i="1"/>
  <c r="F19" i="22" s="1"/>
  <c r="F19" i="24" s="1"/>
  <c r="F19" i="20" s="1"/>
  <c r="E19" i="1"/>
  <c r="E19" i="22" s="1"/>
  <c r="E19" i="24" s="1"/>
  <c r="E19" i="20" s="1"/>
  <c r="D19" i="1"/>
  <c r="D19" i="22" s="1"/>
  <c r="D19" i="24" s="1"/>
  <c r="D19" i="20" s="1"/>
  <c r="G19" i="1"/>
  <c r="G19" i="22" s="1"/>
  <c r="G19" i="24" s="1"/>
  <c r="G19" i="20" s="1"/>
  <c r="F25" i="17"/>
  <c r="F25" i="26"/>
  <c r="E25" i="26"/>
  <c r="D25" i="17"/>
  <c r="D25" i="26"/>
  <c r="C25" i="17"/>
  <c r="C25" i="26"/>
  <c r="F15" i="22"/>
  <c r="F15" i="24" s="1"/>
  <c r="F15" i="20" s="1"/>
  <c r="G26" i="22"/>
  <c r="G26" i="24" s="1"/>
  <c r="G26" i="20" s="1"/>
  <c r="D26" i="22"/>
  <c r="D26" i="24" s="1"/>
  <c r="D26" i="20" s="1"/>
  <c r="E7" i="22"/>
  <c r="E7" i="24" s="1"/>
  <c r="E7" i="20" s="1"/>
  <c r="D7" i="22"/>
  <c r="D7" i="24" s="1"/>
  <c r="D7" i="20" s="1"/>
  <c r="G7" i="22"/>
  <c r="G7" i="24" s="1"/>
  <c r="G7" i="20" s="1"/>
  <c r="C17" i="20" l="1"/>
  <c r="C17" i="17" s="1"/>
  <c r="C17" i="26"/>
  <c r="S17" i="26" s="1"/>
  <c r="N10" i="20"/>
  <c r="N10" i="17" s="1"/>
  <c r="N10" i="26"/>
  <c r="L10" i="20"/>
  <c r="L10" i="17" s="1"/>
  <c r="L10" i="26"/>
  <c r="N11" i="26"/>
  <c r="N11" i="20"/>
  <c r="N11" i="17" s="1"/>
  <c r="O11" i="20"/>
  <c r="O11" i="17" s="1"/>
  <c r="O11" i="26"/>
  <c r="H27" i="20"/>
  <c r="H27" i="17" s="1"/>
  <c r="H27" i="26"/>
  <c r="G27" i="20"/>
  <c r="G27" i="17" s="1"/>
  <c r="G27" i="26"/>
  <c r="O25" i="20"/>
  <c r="O25" i="17" s="1"/>
  <c r="O25" i="26"/>
  <c r="J24" i="20"/>
  <c r="J24" i="17" s="1"/>
  <c r="J24" i="26"/>
  <c r="Q24" i="17"/>
  <c r="Q24" i="20"/>
  <c r="Q24" i="26"/>
  <c r="M12" i="20"/>
  <c r="M12" i="17" s="1"/>
  <c r="M12" i="26"/>
  <c r="O12" i="26"/>
  <c r="O12" i="20"/>
  <c r="O12" i="17" s="1"/>
  <c r="Q12" i="20"/>
  <c r="Q12" i="17" s="1"/>
  <c r="Q12" i="26"/>
  <c r="P23" i="20"/>
  <c r="P23" i="17" s="1"/>
  <c r="P23" i="26"/>
  <c r="L23" i="20"/>
  <c r="L23" i="17" s="1"/>
  <c r="L23" i="26"/>
  <c r="O4" i="20"/>
  <c r="O4" i="17" s="1"/>
  <c r="O4" i="26"/>
  <c r="P4" i="20"/>
  <c r="P4" i="17" s="1"/>
  <c r="P4" i="26"/>
  <c r="L5" i="20"/>
  <c r="L5" i="17" s="1"/>
  <c r="L5" i="26"/>
  <c r="N9" i="20"/>
  <c r="N9" i="17" s="1"/>
  <c r="N9" i="26"/>
  <c r="M14" i="20"/>
  <c r="M14" i="17" s="1"/>
  <c r="M14" i="26"/>
  <c r="O14" i="26"/>
  <c r="O14" i="20"/>
  <c r="O14" i="17" s="1"/>
  <c r="K15" i="20"/>
  <c r="K15" i="17" s="1"/>
  <c r="K15" i="26"/>
  <c r="N15" i="20"/>
  <c r="N15" i="17" s="1"/>
  <c r="N15" i="26"/>
  <c r="O15" i="20"/>
  <c r="O15" i="17" s="1"/>
  <c r="O15" i="26"/>
  <c r="P11" i="20"/>
  <c r="P11" i="17" s="1"/>
  <c r="P11" i="26"/>
  <c r="L11" i="26"/>
  <c r="L11" i="20"/>
  <c r="L11" i="17" s="1"/>
  <c r="I16" i="20"/>
  <c r="I16" i="17" s="1"/>
  <c r="I16" i="26"/>
  <c r="H16" i="20"/>
  <c r="H16" i="17" s="1"/>
  <c r="H16" i="26"/>
  <c r="E16" i="20"/>
  <c r="E16" i="17" s="1"/>
  <c r="E16" i="26"/>
  <c r="E27" i="20"/>
  <c r="E27" i="17" s="1"/>
  <c r="E27" i="26"/>
  <c r="C27" i="20"/>
  <c r="C27" i="17" s="1"/>
  <c r="C27" i="26"/>
  <c r="P25" i="26"/>
  <c r="P25" i="20"/>
  <c r="P25" i="17" s="1"/>
  <c r="O24" i="20"/>
  <c r="O24" i="17" s="1"/>
  <c r="O24" i="26"/>
  <c r="H24" i="20"/>
  <c r="H24" i="17" s="1"/>
  <c r="H24" i="26"/>
  <c r="P24" i="26"/>
  <c r="P24" i="20"/>
  <c r="P24" i="17" s="1"/>
  <c r="L18" i="20"/>
  <c r="L18" i="17" s="1"/>
  <c r="L18" i="26"/>
  <c r="L13" i="20"/>
  <c r="L13" i="17" s="1"/>
  <c r="L13" i="26"/>
  <c r="O23" i="20"/>
  <c r="O23" i="17" s="1"/>
  <c r="O23" i="26"/>
  <c r="N14" i="20"/>
  <c r="N14" i="17" s="1"/>
  <c r="N14" i="26"/>
  <c r="F16" i="20"/>
  <c r="F16" i="17" s="1"/>
  <c r="F16" i="26"/>
  <c r="G16" i="20"/>
  <c r="G16" i="17" s="1"/>
  <c r="G16" i="26"/>
  <c r="I24" i="20"/>
  <c r="I24" i="17" s="1"/>
  <c r="I24" i="26"/>
  <c r="Q18" i="20"/>
  <c r="Q18" i="17" s="1"/>
  <c r="Q18" i="26"/>
  <c r="L12" i="26"/>
  <c r="L12" i="20"/>
  <c r="L12" i="17" s="1"/>
  <c r="N13" i="20"/>
  <c r="N13" i="17" s="1"/>
  <c r="N13" i="26"/>
  <c r="O13" i="20"/>
  <c r="O13" i="17" s="1"/>
  <c r="O13" i="26"/>
  <c r="Q13" i="20"/>
  <c r="Q13" i="17" s="1"/>
  <c r="Q13" i="26"/>
  <c r="N12" i="20"/>
  <c r="N12" i="17" s="1"/>
  <c r="N12" i="26"/>
  <c r="L4" i="26"/>
  <c r="L4" i="20"/>
  <c r="L4" i="17" s="1"/>
  <c r="N4" i="20"/>
  <c r="N4" i="17" s="1"/>
  <c r="N4" i="26"/>
  <c r="Q10" i="20"/>
  <c r="Q10" i="17" s="1"/>
  <c r="Q10" i="26"/>
  <c r="O9" i="20"/>
  <c r="O9" i="17" s="1"/>
  <c r="O9" i="26"/>
  <c r="P9" i="20"/>
  <c r="P9" i="17" s="1"/>
  <c r="P9" i="26"/>
  <c r="P10" i="20"/>
  <c r="P10" i="17" s="1"/>
  <c r="P10" i="26"/>
  <c r="M10" i="20"/>
  <c r="M10" i="17" s="1"/>
  <c r="M10" i="26"/>
  <c r="M9" i="20"/>
  <c r="M9" i="17" s="1"/>
  <c r="M9" i="26"/>
  <c r="P14" i="20"/>
  <c r="P14" i="17" s="1"/>
  <c r="P14" i="26"/>
  <c r="L14" i="20"/>
  <c r="L14" i="17" s="1"/>
  <c r="L14" i="26"/>
  <c r="P15" i="20"/>
  <c r="P15" i="17" s="1"/>
  <c r="P15" i="26"/>
  <c r="L15" i="26"/>
  <c r="L15" i="20"/>
  <c r="L15" i="17" s="1"/>
  <c r="L7" i="20"/>
  <c r="L7" i="17" s="1"/>
  <c r="L7" i="26"/>
  <c r="M11" i="20"/>
  <c r="M11" i="17" s="1"/>
  <c r="M11" i="26"/>
  <c r="Q11" i="20"/>
  <c r="Q11" i="17" s="1"/>
  <c r="Q11" i="26"/>
  <c r="L26" i="20"/>
  <c r="L26" i="17" s="1"/>
  <c r="L26" i="26"/>
  <c r="D16" i="20"/>
  <c r="D16" i="17" s="1"/>
  <c r="D16" i="26"/>
  <c r="J27" i="20"/>
  <c r="J27" i="17" s="1"/>
  <c r="J27" i="26"/>
  <c r="F27" i="20"/>
  <c r="F27" i="17" s="1"/>
  <c r="F27" i="26"/>
  <c r="N25" i="20"/>
  <c r="N25" i="17" s="1"/>
  <c r="N25" i="26"/>
  <c r="M25" i="20"/>
  <c r="M25" i="17" s="1"/>
  <c r="M25" i="26"/>
  <c r="G24" i="20"/>
  <c r="G24" i="17" s="1"/>
  <c r="G24" i="26"/>
  <c r="M24" i="20"/>
  <c r="M24" i="17" s="1"/>
  <c r="M24" i="26"/>
  <c r="D24" i="20"/>
  <c r="D24" i="17" s="1"/>
  <c r="D24" i="26"/>
  <c r="P18" i="20"/>
  <c r="P18" i="17" s="1"/>
  <c r="P18" i="26"/>
  <c r="P12" i="20"/>
  <c r="P12" i="17" s="1"/>
  <c r="P12" i="26"/>
  <c r="M23" i="20"/>
  <c r="M23" i="17" s="1"/>
  <c r="M23" i="26"/>
  <c r="Q9" i="20"/>
  <c r="Q9" i="17" s="1"/>
  <c r="Q9" i="26"/>
  <c r="K14" i="20"/>
  <c r="K14" i="17" s="1"/>
  <c r="K14" i="26"/>
  <c r="Q15" i="20"/>
  <c r="Q15" i="17" s="1"/>
  <c r="Q15" i="26"/>
  <c r="C16" i="20"/>
  <c r="C16" i="17" s="1"/>
  <c r="C16" i="26"/>
  <c r="Q25" i="20"/>
  <c r="Q25" i="17" s="1"/>
  <c r="Q25" i="26"/>
  <c r="F24" i="20"/>
  <c r="F24" i="17" s="1"/>
  <c r="F24" i="26"/>
  <c r="N18" i="20"/>
  <c r="N18" i="17" s="1"/>
  <c r="N18" i="26"/>
  <c r="L8" i="17"/>
  <c r="L8" i="26"/>
  <c r="O18" i="20"/>
  <c r="O18" i="17" s="1"/>
  <c r="O18" i="26"/>
  <c r="M18" i="20"/>
  <c r="M18" i="17" s="1"/>
  <c r="M18" i="26"/>
  <c r="M13" i="20"/>
  <c r="M13" i="17" s="1"/>
  <c r="M13" i="26"/>
  <c r="P13" i="20"/>
  <c r="P13" i="17" s="1"/>
  <c r="P13" i="26"/>
  <c r="Q23" i="20"/>
  <c r="Q23" i="17" s="1"/>
  <c r="Q23" i="26"/>
  <c r="N23" i="26"/>
  <c r="N23" i="20"/>
  <c r="N23" i="17" s="1"/>
  <c r="M4" i="20"/>
  <c r="M4" i="17" s="1"/>
  <c r="M4" i="26"/>
  <c r="Q4" i="20"/>
  <c r="Q4" i="17" s="1"/>
  <c r="Q4" i="26"/>
  <c r="L9" i="20"/>
  <c r="L9" i="17" s="1"/>
  <c r="L9" i="26"/>
  <c r="O10" i="26"/>
  <c r="O10" i="20"/>
  <c r="O10" i="17" s="1"/>
  <c r="Q14" i="20"/>
  <c r="Q14" i="17" s="1"/>
  <c r="Q14" i="26"/>
  <c r="M15" i="20"/>
  <c r="M15" i="17" s="1"/>
  <c r="M15" i="26"/>
  <c r="J16" i="20"/>
  <c r="J16" i="17" s="1"/>
  <c r="J16" i="26"/>
  <c r="I27" i="20"/>
  <c r="I27" i="17" s="1"/>
  <c r="I27" i="26"/>
  <c r="D27" i="20"/>
  <c r="D27" i="17" s="1"/>
  <c r="D27" i="26"/>
  <c r="L25" i="20"/>
  <c r="L25" i="17" s="1"/>
  <c r="L25" i="26"/>
  <c r="N24" i="20"/>
  <c r="N24" i="17" s="1"/>
  <c r="N24" i="26"/>
  <c r="L24" i="20"/>
  <c r="L24" i="17" s="1"/>
  <c r="L24" i="26"/>
  <c r="C24" i="20"/>
  <c r="C24" i="17" s="1"/>
  <c r="C24" i="26"/>
  <c r="E24" i="20"/>
  <c r="E24" i="17" s="1"/>
  <c r="E24" i="26"/>
  <c r="M26" i="26"/>
  <c r="M26" i="20"/>
  <c r="M26" i="17" s="1"/>
  <c r="N26" i="20"/>
  <c r="N26" i="17" s="1"/>
  <c r="N26" i="26"/>
  <c r="O26" i="20"/>
  <c r="O26" i="17" s="1"/>
  <c r="O26" i="26"/>
  <c r="P26" i="20"/>
  <c r="P26" i="17" s="1"/>
  <c r="P26" i="26"/>
  <c r="Q26" i="20"/>
  <c r="Q26" i="17" s="1"/>
  <c r="Q26" i="26"/>
  <c r="N3" i="17"/>
  <c r="N3" i="26"/>
  <c r="Q3" i="26"/>
  <c r="Q3" i="17"/>
  <c r="L3" i="26"/>
  <c r="L3" i="17"/>
  <c r="K3" i="26"/>
  <c r="K3" i="17"/>
  <c r="O3" i="26"/>
  <c r="O3" i="17"/>
  <c r="M3" i="26"/>
  <c r="M3" i="17"/>
  <c r="P3" i="26"/>
  <c r="P3" i="17"/>
  <c r="O21" i="17"/>
  <c r="O21" i="26"/>
  <c r="K21" i="26"/>
  <c r="L22" i="26"/>
  <c r="L22" i="17"/>
  <c r="P22" i="17"/>
  <c r="P22" i="26"/>
  <c r="Q21" i="26"/>
  <c r="Q21" i="17"/>
  <c r="P21" i="17"/>
  <c r="P21" i="26"/>
  <c r="N21" i="17"/>
  <c r="N21" i="26"/>
  <c r="M21" i="17"/>
  <c r="M21" i="26"/>
  <c r="M22" i="17"/>
  <c r="M22" i="26"/>
  <c r="K22" i="26"/>
  <c r="Q22" i="17"/>
  <c r="Q22" i="26"/>
  <c r="O22" i="26"/>
  <c r="O22" i="17"/>
  <c r="N22" i="26"/>
  <c r="N22" i="17"/>
  <c r="L21" i="17"/>
  <c r="L21" i="26"/>
  <c r="S29" i="26"/>
  <c r="E22" i="26"/>
  <c r="E22" i="17"/>
  <c r="G21" i="17"/>
  <c r="G21" i="26"/>
  <c r="H19" i="17"/>
  <c r="H19" i="26"/>
  <c r="I22" i="17"/>
  <c r="I22" i="26"/>
  <c r="C21" i="17"/>
  <c r="C21" i="26"/>
  <c r="H5" i="26"/>
  <c r="H5" i="17"/>
  <c r="J10" i="17"/>
  <c r="J10" i="26"/>
  <c r="J3" i="17"/>
  <c r="J3" i="26"/>
  <c r="S25" i="26"/>
  <c r="C20" i="17"/>
  <c r="C20" i="26"/>
  <c r="F5" i="26"/>
  <c r="F5" i="17"/>
  <c r="F22" i="17"/>
  <c r="F22" i="26"/>
  <c r="J21" i="17"/>
  <c r="J21" i="26"/>
  <c r="I5" i="26"/>
  <c r="I5" i="17"/>
  <c r="G10" i="17"/>
  <c r="G10" i="26"/>
  <c r="H10" i="26"/>
  <c r="H10" i="17"/>
  <c r="J14" i="17"/>
  <c r="J14" i="26"/>
  <c r="J26" i="17"/>
  <c r="J26" i="26"/>
  <c r="I26" i="26"/>
  <c r="I26" i="17"/>
  <c r="G19" i="26"/>
  <c r="G19" i="17"/>
  <c r="J22" i="17"/>
  <c r="J22" i="26"/>
  <c r="D21" i="17"/>
  <c r="D21" i="26"/>
  <c r="G5" i="26"/>
  <c r="G5" i="17"/>
  <c r="E5" i="26"/>
  <c r="E5" i="17"/>
  <c r="F10" i="17"/>
  <c r="F10" i="26"/>
  <c r="C10" i="17"/>
  <c r="C10" i="26"/>
  <c r="G22" i="17"/>
  <c r="G22" i="26"/>
  <c r="H21" i="17"/>
  <c r="H21" i="26"/>
  <c r="I21" i="17"/>
  <c r="I21" i="26"/>
  <c r="D5" i="17"/>
  <c r="D5" i="26"/>
  <c r="J5" i="26"/>
  <c r="J5" i="17"/>
  <c r="D10" i="17"/>
  <c r="D10" i="26"/>
  <c r="D22" i="17"/>
  <c r="D22" i="26"/>
  <c r="H22" i="17"/>
  <c r="H22" i="26"/>
  <c r="C22" i="17"/>
  <c r="C22" i="26"/>
  <c r="H20" i="17"/>
  <c r="H20" i="26"/>
  <c r="F21" i="17"/>
  <c r="F21" i="26"/>
  <c r="E21" i="26"/>
  <c r="E21" i="17"/>
  <c r="C5" i="17"/>
  <c r="C5" i="26"/>
  <c r="E10" i="17"/>
  <c r="E10" i="26"/>
  <c r="I10" i="17"/>
  <c r="I10" i="26"/>
  <c r="G4" i="17"/>
  <c r="G4" i="26"/>
  <c r="D4" i="17"/>
  <c r="D4" i="26"/>
  <c r="F8" i="17"/>
  <c r="F8" i="26"/>
  <c r="J8" i="17"/>
  <c r="J8" i="26"/>
  <c r="S6" i="26"/>
  <c r="D20" i="17"/>
  <c r="D20" i="26"/>
  <c r="E9" i="17"/>
  <c r="E9" i="26"/>
  <c r="J9" i="17"/>
  <c r="J9" i="26"/>
  <c r="G7" i="17"/>
  <c r="G7" i="26"/>
  <c r="D26" i="17"/>
  <c r="D26" i="26"/>
  <c r="F15" i="17"/>
  <c r="F15" i="26"/>
  <c r="D15" i="17"/>
  <c r="D15" i="26"/>
  <c r="E23" i="17"/>
  <c r="E23" i="26"/>
  <c r="D23" i="17"/>
  <c r="D23" i="26"/>
  <c r="E19" i="17"/>
  <c r="E19" i="26"/>
  <c r="I8" i="17"/>
  <c r="I8" i="26"/>
  <c r="E8" i="17"/>
  <c r="E8" i="26"/>
  <c r="F20" i="17"/>
  <c r="F20" i="26"/>
  <c r="F9" i="17"/>
  <c r="F9" i="26"/>
  <c r="D7" i="17"/>
  <c r="D7" i="26"/>
  <c r="H26" i="17"/>
  <c r="H26" i="26"/>
  <c r="F26" i="17"/>
  <c r="F26" i="26"/>
  <c r="C15" i="17"/>
  <c r="C15" i="26"/>
  <c r="J23" i="17"/>
  <c r="J23" i="26"/>
  <c r="C23" i="17"/>
  <c r="C23" i="26"/>
  <c r="C19" i="17"/>
  <c r="C19" i="26"/>
  <c r="E4" i="17"/>
  <c r="E4" i="26"/>
  <c r="H4" i="17"/>
  <c r="H4" i="26"/>
  <c r="I4" i="17"/>
  <c r="I4" i="26"/>
  <c r="C8" i="17"/>
  <c r="C8" i="26"/>
  <c r="H8" i="17"/>
  <c r="H8" i="26"/>
  <c r="E20" i="17"/>
  <c r="E20" i="26"/>
  <c r="D9" i="17"/>
  <c r="D9" i="26"/>
  <c r="H9" i="17"/>
  <c r="H9" i="26"/>
  <c r="C9" i="17"/>
  <c r="C9" i="26"/>
  <c r="E7" i="17"/>
  <c r="E7" i="26"/>
  <c r="G26" i="17"/>
  <c r="G26" i="26"/>
  <c r="I15" i="17"/>
  <c r="I15" i="26"/>
  <c r="G15" i="17"/>
  <c r="G15" i="26"/>
  <c r="H15" i="17"/>
  <c r="H15" i="26"/>
  <c r="F23" i="17"/>
  <c r="F23" i="26"/>
  <c r="G23" i="17"/>
  <c r="G23" i="26"/>
  <c r="J4" i="17"/>
  <c r="J4" i="26"/>
  <c r="D19" i="17"/>
  <c r="D19" i="26"/>
  <c r="F19" i="17"/>
  <c r="F19" i="26"/>
  <c r="C4" i="17"/>
  <c r="C4" i="26"/>
  <c r="F4" i="17"/>
  <c r="F4" i="26"/>
  <c r="G8" i="17"/>
  <c r="G8" i="26"/>
  <c r="D8" i="17"/>
  <c r="D8" i="26"/>
  <c r="G20" i="17"/>
  <c r="G20" i="26"/>
  <c r="I9" i="17"/>
  <c r="I9" i="26"/>
  <c r="G9" i="17"/>
  <c r="G9" i="26"/>
  <c r="C26" i="17"/>
  <c r="C26" i="26"/>
  <c r="E26" i="17"/>
  <c r="E26" i="26"/>
  <c r="J15" i="17"/>
  <c r="J15" i="26"/>
  <c r="E15" i="17"/>
  <c r="E15" i="26"/>
  <c r="I23" i="17"/>
  <c r="I23" i="26"/>
  <c r="H23" i="17"/>
  <c r="H23" i="26"/>
  <c r="I7" i="17"/>
  <c r="I7" i="26"/>
  <c r="C13" i="22"/>
  <c r="C13" i="24" s="1"/>
  <c r="C13" i="20" s="1"/>
  <c r="G12" i="22"/>
  <c r="I13" i="22"/>
  <c r="I13" i="24" s="1"/>
  <c r="I13" i="20" s="1"/>
  <c r="F13" i="22"/>
  <c r="F13" i="24" s="1"/>
  <c r="F13" i="20" s="1"/>
  <c r="G13" i="22"/>
  <c r="H13" i="22"/>
  <c r="H13" i="24" s="1"/>
  <c r="H13" i="20" s="1"/>
  <c r="I12" i="22"/>
  <c r="I12" i="24" s="1"/>
  <c r="I12" i="20" s="1"/>
  <c r="D13" i="22"/>
  <c r="D13" i="24" s="1"/>
  <c r="D13" i="20" s="1"/>
  <c r="J13" i="22"/>
  <c r="J13" i="24" s="1"/>
  <c r="J13" i="20" s="1"/>
  <c r="E13" i="22"/>
  <c r="E13" i="24" s="1"/>
  <c r="E13" i="20" s="1"/>
  <c r="H7" i="22"/>
  <c r="H7" i="24" s="1"/>
  <c r="H7" i="20" s="1"/>
  <c r="J7" i="22"/>
  <c r="J7" i="24" s="1"/>
  <c r="J7" i="20" s="1"/>
  <c r="F7" i="22"/>
  <c r="F7" i="24" s="1"/>
  <c r="F7" i="20" s="1"/>
  <c r="C7" i="22"/>
  <c r="C7" i="24" s="1"/>
  <c r="C7" i="20" s="1"/>
  <c r="D18" i="22"/>
  <c r="D18" i="24" s="1"/>
  <c r="D18" i="20" s="1"/>
  <c r="G18" i="22"/>
  <c r="G18" i="24" s="1"/>
  <c r="G18" i="20" s="1"/>
  <c r="C18" i="22"/>
  <c r="C18" i="24" s="1"/>
  <c r="C18" i="20" s="1"/>
  <c r="J18" i="22"/>
  <c r="J18" i="24" s="1"/>
  <c r="J18" i="20" s="1"/>
  <c r="F18" i="22"/>
  <c r="F18" i="24" s="1"/>
  <c r="F18" i="20" s="1"/>
  <c r="I18" i="22"/>
  <c r="I18" i="24" s="1"/>
  <c r="I18" i="20" s="1"/>
  <c r="E18" i="22"/>
  <c r="E18" i="24" s="1"/>
  <c r="E18" i="20" s="1"/>
  <c r="H18" i="22"/>
  <c r="H18" i="24" s="1"/>
  <c r="H18" i="20" s="1"/>
  <c r="S24" i="26" l="1"/>
  <c r="S16" i="26"/>
  <c r="S27" i="26"/>
  <c r="S22" i="26"/>
  <c r="S5" i="26"/>
  <c r="S3" i="26"/>
  <c r="S21" i="26"/>
  <c r="S10" i="26"/>
  <c r="S26" i="26"/>
  <c r="S14" i="26"/>
  <c r="D18" i="17"/>
  <c r="D18" i="26"/>
  <c r="F13" i="17"/>
  <c r="F13" i="26"/>
  <c r="G18" i="17"/>
  <c r="G18" i="26"/>
  <c r="H18" i="17"/>
  <c r="H18" i="26"/>
  <c r="J7" i="17"/>
  <c r="J7" i="26"/>
  <c r="D13" i="17"/>
  <c r="D13" i="26"/>
  <c r="C13" i="17"/>
  <c r="C13" i="26"/>
  <c r="S9" i="26"/>
  <c r="S8" i="26"/>
  <c r="S23" i="26"/>
  <c r="S15" i="26"/>
  <c r="S20" i="26"/>
  <c r="J18" i="17"/>
  <c r="J18" i="26"/>
  <c r="I18" i="17"/>
  <c r="I18" i="26"/>
  <c r="C18" i="17"/>
  <c r="C18" i="26"/>
  <c r="C7" i="17"/>
  <c r="C7" i="26"/>
  <c r="J13" i="17"/>
  <c r="J13" i="26"/>
  <c r="I12" i="17"/>
  <c r="I12" i="26"/>
  <c r="I13" i="17"/>
  <c r="I13" i="26"/>
  <c r="S19" i="26"/>
  <c r="E18" i="17"/>
  <c r="E18" i="26"/>
  <c r="H7" i="17"/>
  <c r="H7" i="26"/>
  <c r="F18" i="17"/>
  <c r="F18" i="26"/>
  <c r="F7" i="17"/>
  <c r="F7" i="26"/>
  <c r="E13" i="17"/>
  <c r="E13" i="26"/>
  <c r="H13" i="17"/>
  <c r="H13" i="26"/>
  <c r="S4" i="26"/>
  <c r="H12" i="22"/>
  <c r="H12" i="24" s="1"/>
  <c r="H12" i="20" s="1"/>
  <c r="C12" i="22"/>
  <c r="C12" i="24" s="1"/>
  <c r="C12" i="20" s="1"/>
  <c r="G12" i="24"/>
  <c r="G12" i="20" s="1"/>
  <c r="E12" i="22"/>
  <c r="E12" i="24" s="1"/>
  <c r="E12" i="20" s="1"/>
  <c r="D12" i="22"/>
  <c r="D12" i="24" s="1"/>
  <c r="D12" i="20" s="1"/>
  <c r="G13" i="24"/>
  <c r="G13" i="20" s="1"/>
  <c r="F12" i="22"/>
  <c r="F12" i="24" s="1"/>
  <c r="F12" i="20" s="1"/>
  <c r="J12" i="22"/>
  <c r="J12" i="24" s="1"/>
  <c r="J12" i="20" s="1"/>
  <c r="I11" i="22"/>
  <c r="I11" i="24" s="1"/>
  <c r="I11" i="20" s="1"/>
  <c r="E11" i="22"/>
  <c r="E11" i="24" s="1"/>
  <c r="E11" i="20" s="1"/>
  <c r="J11" i="22"/>
  <c r="J11" i="24" s="1"/>
  <c r="J11" i="20" s="1"/>
  <c r="C11" i="22"/>
  <c r="C11" i="24" s="1"/>
  <c r="C11" i="20" s="1"/>
  <c r="H11" i="22"/>
  <c r="H11" i="24" s="1"/>
  <c r="H11" i="20" s="1"/>
  <c r="G11" i="22"/>
  <c r="G11" i="24" s="1"/>
  <c r="G11" i="20" s="1"/>
  <c r="F11" i="22"/>
  <c r="F11" i="24" s="1"/>
  <c r="F11" i="20" s="1"/>
  <c r="D11" i="22"/>
  <c r="D11" i="24" s="1"/>
  <c r="D11" i="20" s="1"/>
  <c r="G11" i="17" l="1"/>
  <c r="G11" i="26"/>
  <c r="C11" i="17"/>
  <c r="C11" i="26"/>
  <c r="G13" i="17"/>
  <c r="G13" i="26"/>
  <c r="S7" i="26"/>
  <c r="I11" i="17"/>
  <c r="I11" i="26"/>
  <c r="H12" i="17"/>
  <c r="H12" i="26"/>
  <c r="J11" i="17"/>
  <c r="J11" i="26"/>
  <c r="G12" i="17"/>
  <c r="G12" i="26"/>
  <c r="D11" i="17"/>
  <c r="D11" i="26"/>
  <c r="H11" i="17"/>
  <c r="H11" i="26"/>
  <c r="E11" i="17"/>
  <c r="E11" i="26"/>
  <c r="E12" i="17"/>
  <c r="E12" i="26"/>
  <c r="S18" i="26"/>
  <c r="D12" i="17"/>
  <c r="D12" i="26"/>
  <c r="F11" i="17"/>
  <c r="F11" i="26"/>
  <c r="J12" i="17"/>
  <c r="J12" i="26"/>
  <c r="F12" i="17"/>
  <c r="F12" i="26"/>
  <c r="C12" i="17"/>
  <c r="C12" i="26"/>
  <c r="S13" i="26" l="1"/>
  <c r="S11" i="26"/>
  <c r="S12" i="26" l="1"/>
  <c r="S31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ankel</author>
    <author>Reflection</author>
  </authors>
  <commentList>
    <comment ref="AK3" authorId="0" shapeId="0" xr:uid="{A29090B6-0E1F-445B-9BC7-8BE66BFD01E9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x3
</t>
        </r>
      </text>
    </comment>
    <comment ref="I4" authorId="0" shapeId="0" xr:uid="{440AEA10-433F-43A2-8B7B-EFF3375B179E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x 7 botones
</t>
        </r>
      </text>
    </comment>
    <comment ref="AG4" authorId="0" shapeId="0" xr:uid="{F90259D4-3694-459C-A2FD-063FC364B062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x7
</t>
        </r>
      </text>
    </comment>
    <comment ref="G36" authorId="1" shapeId="0" xr:uid="{00000000-0006-0000-0200-000001000000}">
      <text>
        <r>
          <rPr>
            <b/>
            <sz val="8"/>
            <color indexed="81"/>
            <rFont val="Tahoma"/>
            <family val="2"/>
          </rPr>
          <t>60 cm de elastico en promedio</t>
        </r>
      </text>
    </comment>
    <comment ref="G38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3 botones para pantalones</t>
        </r>
      </text>
    </comment>
    <comment ref="G39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7 Botones en promedio</t>
        </r>
      </text>
    </comment>
    <comment ref="G41" authorId="1" shapeId="0" xr:uid="{00000000-0006-0000-0200-000005000000}">
      <text>
        <r>
          <rPr>
            <b/>
            <sz val="8"/>
            <color indexed="81"/>
            <rFont val="Tahoma"/>
            <family val="2"/>
          </rPr>
          <t>20 cm de uso de entretela</t>
        </r>
      </text>
    </comment>
    <comment ref="K41" authorId="0" shapeId="0" xr:uid="{C37E4CA1-E8F2-4C93-95FF-70317B4285D0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Rollo 50 metros de 1.2 de ancho, cuesta 900</t>
        </r>
      </text>
    </comment>
    <comment ref="G42" authorId="1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Uso de 12 cm por camisa
</t>
        </r>
      </text>
    </comment>
    <comment ref="K42" authorId="0" shapeId="0" xr:uid="{F9D574C3-76E3-4648-BF09-EBCD7771D0CF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Rollo 50 metros de 1.2 de ancho, cuesta 900</t>
        </r>
      </text>
    </comment>
    <comment ref="G46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 xml:space="preserve">Uso promedio de 1.25 por prendas
</t>
        </r>
      </text>
    </comment>
    <comment ref="I46" authorId="0" shapeId="0" xr:uid="{4CE32E4A-D618-45F4-8059-A5C8AA768EA6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Metros
</t>
        </r>
      </text>
    </comment>
    <comment ref="G52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 xml:space="preserve">costo por 2
</t>
        </r>
      </text>
    </comment>
    <comment ref="E53" authorId="0" shapeId="0" xr:uid="{55882FFA-6528-42ED-8272-6D80ECF8B778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en promedio, la mas pequeña cuesta 13 y la mas grande 30 bs</t>
        </r>
      </text>
    </comment>
    <comment ref="I58" authorId="0" shapeId="0" xr:uid="{BDCB41C5-EB89-4707-BD1D-CD1285DEBC75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(8.7x7.5)*2 cm2</t>
        </r>
      </text>
    </comment>
    <comment ref="I59" authorId="0" shapeId="0" xr:uid="{66B85829-4469-427E-B787-E0C4A388148E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20x3 cm el uso del vinilo</t>
        </r>
      </text>
    </comment>
    <comment ref="K65" authorId="0" shapeId="0" xr:uid="{1F8EE735-204E-4BF7-B2F9-A70AA4555401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Rollo 50 metros de 1.2 de ancho, cuesta 900</t>
        </r>
      </text>
    </comment>
    <comment ref="K68" authorId="0" shapeId="0" xr:uid="{94E48702-254F-4888-9021-7DFE573F10D5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Rollo 50 metros de 1.2 de ancho, cuesta 900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ankel</author>
  </authors>
  <commentList>
    <comment ref="I2" authorId="0" shapeId="0" xr:uid="{61B49034-3E3D-4A4C-93DD-EDBE781F78BE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Formula Condicional para calcular precio por kilo, cuando se compra por metro</t>
        </r>
      </text>
    </comment>
    <comment ref="J2" authorId="0" shapeId="0" xr:uid="{CEA26560-A346-4969-87CD-E570E813F6D5}">
      <text>
        <r>
          <rPr>
            <b/>
            <sz val="9"/>
            <color indexed="81"/>
            <rFont val="Tahoma"/>
            <family val="2"/>
          </rPr>
          <t>ankel:</t>
        </r>
        <r>
          <rPr>
            <sz val="9"/>
            <color indexed="81"/>
            <rFont val="Tahoma"/>
            <family val="2"/>
          </rPr>
          <t xml:space="preserve">
Formula Condicional para calcular precio por kilo, cuando se compra por metro</t>
        </r>
      </text>
    </comment>
  </commentList>
</comments>
</file>

<file path=xl/sharedStrings.xml><?xml version="1.0" encoding="utf-8"?>
<sst xmlns="http://schemas.openxmlformats.org/spreadsheetml/2006/main" count="945" uniqueCount="236">
  <si>
    <t>DETALLE</t>
  </si>
  <si>
    <t>Pantalón de vestir</t>
  </si>
  <si>
    <t>Camisa manga corta</t>
  </si>
  <si>
    <t>Corbata larga</t>
  </si>
  <si>
    <t>●</t>
  </si>
  <si>
    <t>Pantalón con elástico</t>
  </si>
  <si>
    <t>Bermuda</t>
  </si>
  <si>
    <t>Polera manga corta</t>
  </si>
  <si>
    <t>Short</t>
  </si>
  <si>
    <t>Pantalón para dama</t>
  </si>
  <si>
    <t>Blusa manga corta</t>
  </si>
  <si>
    <t>Corbata con elástico</t>
  </si>
  <si>
    <t>Falda plisada</t>
  </si>
  <si>
    <t>Jamper</t>
  </si>
  <si>
    <t>Vestido</t>
  </si>
  <si>
    <t>ITEM</t>
  </si>
  <si>
    <t>Materia Prima</t>
  </si>
  <si>
    <t>Descripción</t>
  </si>
  <si>
    <t>Ancho Extendido/Mts</t>
  </si>
  <si>
    <t>Unidad</t>
  </si>
  <si>
    <t>Pique, Nacional Hilo Hindú</t>
  </si>
  <si>
    <t>Cuello</t>
  </si>
  <si>
    <t>CODIGO</t>
  </si>
  <si>
    <t>DESCRIPCION</t>
  </si>
  <si>
    <t>UNIDAD DE COMPRA</t>
  </si>
  <si>
    <t>COSTO Unitario Bs.</t>
  </si>
  <si>
    <t>Ciento</t>
  </si>
  <si>
    <t>Boton de 4 huecos para polo</t>
  </si>
  <si>
    <t>Gruesa</t>
  </si>
  <si>
    <t>Etiqueta de Marca</t>
  </si>
  <si>
    <t>Mil</t>
  </si>
  <si>
    <t>Etiqueta de Talla</t>
  </si>
  <si>
    <t>Etiqueta de cuidados</t>
  </si>
  <si>
    <t>Hilo Tex 24 polyester</t>
  </si>
  <si>
    <t>yardas</t>
  </si>
  <si>
    <t>metro</t>
  </si>
  <si>
    <t>Tela Casimir Indú Pantalones</t>
  </si>
  <si>
    <t>Popelina Luqui Blusas y camisas</t>
  </si>
  <si>
    <t>Licra de algodón para Calzas</t>
  </si>
  <si>
    <t>Taslan para chamarras y buzos</t>
  </si>
  <si>
    <t>PESO DE MATERIA PRIMA ESTIMADO EN GRAMOS</t>
  </si>
  <si>
    <t>Merma</t>
  </si>
  <si>
    <t>Bolsa de Polipropileno</t>
  </si>
  <si>
    <t>Broche</t>
  </si>
  <si>
    <t>Boton de chamarra</t>
  </si>
  <si>
    <t>Botamanga (par)</t>
  </si>
  <si>
    <t>Elastico Short o buzo</t>
  </si>
  <si>
    <t>Botones Pantalon</t>
  </si>
  <si>
    <t>caja</t>
  </si>
  <si>
    <t>paquete</t>
  </si>
  <si>
    <t>uso</t>
  </si>
  <si>
    <t>Bordado escudo</t>
  </si>
  <si>
    <t>Entretela de chamarra</t>
  </si>
  <si>
    <t>Entretela de Camisa</t>
  </si>
  <si>
    <t>Hebilla de falda</t>
  </si>
  <si>
    <t>Cordon de buzo y short</t>
  </si>
  <si>
    <t>metros</t>
  </si>
  <si>
    <t>Campana para buso y short</t>
  </si>
  <si>
    <t>bolsa</t>
  </si>
  <si>
    <t>Forro de chamarra</t>
  </si>
  <si>
    <t>Malla para buzo</t>
  </si>
  <si>
    <t>Cinta Antideslizante</t>
  </si>
  <si>
    <t>Costo de Uso en prendas</t>
  </si>
  <si>
    <t>Costo mano de obra</t>
  </si>
  <si>
    <t>Precio unidad de compra/Bs</t>
  </si>
  <si>
    <t>kilo</t>
  </si>
  <si>
    <t>Rendimiento m / kg</t>
  </si>
  <si>
    <t>Densidad  Gr / mt2</t>
  </si>
  <si>
    <t>Peso / mt lineal extendido</t>
  </si>
  <si>
    <t>Costo de Fabricacion semiterminado</t>
  </si>
  <si>
    <t>PAR</t>
  </si>
  <si>
    <t>Unidades que se usan por prenda</t>
  </si>
  <si>
    <t>Unidades por cada metro</t>
  </si>
  <si>
    <t>COSTO "Unidad de Compra"   Bs.</t>
  </si>
  <si>
    <t>Cantidad x "unidad de compra"</t>
  </si>
  <si>
    <t>Cierre corto (pantalon)</t>
  </si>
  <si>
    <t>Cierre Largo (Chamarra)</t>
  </si>
  <si>
    <t>Vinilo para shorts</t>
  </si>
  <si>
    <t>Vinilo Calzas</t>
  </si>
  <si>
    <t>Bordado espalda Chamarra</t>
  </si>
  <si>
    <t>Sacos</t>
  </si>
  <si>
    <t>Tallas
12 - S</t>
  </si>
  <si>
    <t>Algodón Nacional, hilo Hindú Poleras</t>
  </si>
  <si>
    <t>Unid.</t>
  </si>
  <si>
    <t>Precio
Bs / Kg</t>
  </si>
  <si>
    <t>Datos para modificar</t>
  </si>
  <si>
    <t>Elastico para berm. y pant.</t>
  </si>
  <si>
    <t>Tallas
42 -10</t>
  </si>
  <si>
    <t>par</t>
  </si>
  <si>
    <t>OJALES</t>
  </si>
  <si>
    <t>Dryfit para shorts</t>
  </si>
  <si>
    <t>Serigrafia escudo polera</t>
  </si>
  <si>
    <t>Serigrafia rectangulo polera, espalda</t>
  </si>
  <si>
    <t>Serigrafía calza</t>
  </si>
  <si>
    <t>Ojal grande</t>
  </si>
  <si>
    <t>Ojal Pequeño</t>
  </si>
  <si>
    <t>Casimir Italiano para sacos</t>
  </si>
  <si>
    <t>Polar</t>
  </si>
  <si>
    <t>Deportivo para Chamarras y buzos</t>
  </si>
  <si>
    <t>Forro delgado para Chamarras</t>
  </si>
  <si>
    <t>Entretela para pantalon</t>
  </si>
  <si>
    <t>Costo por cm2</t>
  </si>
  <si>
    <t>500 cm2</t>
  </si>
  <si>
    <t>Ojal Grande</t>
  </si>
  <si>
    <t>Elastico redondo</t>
  </si>
  <si>
    <t>Atracado</t>
  </si>
  <si>
    <t>unidad</t>
  </si>
  <si>
    <t>1 metro</t>
  </si>
  <si>
    <t>Entretela Corbata</t>
  </si>
  <si>
    <t>130 cm2</t>
  </si>
  <si>
    <t>60 cm2</t>
  </si>
  <si>
    <t>Costo fijo</t>
  </si>
  <si>
    <t>Mantenimiento y lubricación de maquinaria</t>
  </si>
  <si>
    <t>Costos personal administrativo.</t>
  </si>
  <si>
    <t>Costos personal de limpieza, planchado y terminado.</t>
  </si>
  <si>
    <t>Servicio de Electricidad</t>
  </si>
  <si>
    <t>Servicio de Agua potable</t>
  </si>
  <si>
    <t>Servicio de Internet</t>
  </si>
  <si>
    <t>Costos Personal de Corte</t>
  </si>
  <si>
    <t>Costos indirectos de producción</t>
  </si>
  <si>
    <t>Total Costos Indirectos Mensuales</t>
  </si>
  <si>
    <t>Prendas producidas al Mes</t>
  </si>
  <si>
    <t>Costo Indirecto por prenda</t>
  </si>
  <si>
    <t>Hipoteca</t>
  </si>
  <si>
    <t>Costo Mensual</t>
  </si>
  <si>
    <t>Saco</t>
  </si>
  <si>
    <t>Factor de Complejidad</t>
  </si>
  <si>
    <t>Total De Accesorios</t>
  </si>
  <si>
    <t>Chamarra de invierno</t>
  </si>
  <si>
    <t>Chamarra de verano</t>
  </si>
  <si>
    <t>Buso Deportivo</t>
  </si>
  <si>
    <t>Chaleco cuello en V</t>
  </si>
  <si>
    <t>Chompa cuello en V</t>
  </si>
  <si>
    <t>Polera manga larga</t>
  </si>
  <si>
    <t>Calza corta</t>
  </si>
  <si>
    <t>Calza larga</t>
  </si>
  <si>
    <t>Polera de colores</t>
  </si>
  <si>
    <t>Polera Bullying</t>
  </si>
  <si>
    <t>Camisa manga larga</t>
  </si>
  <si>
    <t>7-8</t>
  </si>
  <si>
    <t>9</t>
  </si>
  <si>
    <t>10-11</t>
  </si>
  <si>
    <t>12</t>
  </si>
  <si>
    <t>Calza corta/larga</t>
  </si>
  <si>
    <t>Polera manga corta/larga</t>
  </si>
  <si>
    <t>Serigrafia polera colores</t>
  </si>
  <si>
    <t>Serigrafia Bullying</t>
  </si>
  <si>
    <t>Costos anteriores</t>
  </si>
  <si>
    <t>Peso Polar Chamarras</t>
  </si>
  <si>
    <t>16/34</t>
  </si>
  <si>
    <t>36/XS</t>
  </si>
  <si>
    <t>38/S</t>
  </si>
  <si>
    <t>40/M</t>
  </si>
  <si>
    <t>42/L</t>
  </si>
  <si>
    <t>44/XL</t>
  </si>
  <si>
    <t>46/2XL</t>
  </si>
  <si>
    <t>48/3XL</t>
  </si>
  <si>
    <t>UTILIDAD NETA</t>
  </si>
  <si>
    <t>Costos Fijos y variables por prenda</t>
  </si>
  <si>
    <t>Impuesto %</t>
  </si>
  <si>
    <t>MARGEN DE UTILIDAD NETA %</t>
  </si>
  <si>
    <t>Costo bruto + Gastos Fijos/Variables x prenda</t>
  </si>
  <si>
    <t>COSTO (ANTES DE IMPUESTOS)</t>
  </si>
  <si>
    <t>COSTO (CON IMPUESTOS)</t>
  </si>
  <si>
    <t>Costo + 13%</t>
  </si>
  <si>
    <t>Precio de Venta - Costo Total</t>
  </si>
  <si>
    <t>%</t>
  </si>
  <si>
    <t>Precio
Bs / g</t>
  </si>
  <si>
    <t>Tela Casimir Escoces para faldas/vestidos/corbatas/</t>
  </si>
  <si>
    <t>COSTO INVENTARIO</t>
  </si>
  <si>
    <t>INVENTARIO AL 11/11/2022</t>
  </si>
  <si>
    <t>Blusa manga larga</t>
  </si>
  <si>
    <t>Chamarra deportiva</t>
  </si>
  <si>
    <t>EN BS</t>
  </si>
  <si>
    <t>COSTO BRUTO</t>
  </si>
  <si>
    <t>Tela + Accesorios + Mano de obra (SIN FIJOS NI VARIABLES)</t>
  </si>
  <si>
    <t>PRECIO DE VENTA</t>
  </si>
  <si>
    <t>50/4XL</t>
  </si>
  <si>
    <t>Tallas
M - 4XL</t>
  </si>
  <si>
    <t>Pantalón V, CC</t>
  </si>
  <si>
    <t>Camisa m/c, CC</t>
  </si>
  <si>
    <t>Camisa m/l, CC</t>
  </si>
  <si>
    <t xml:space="preserve">
Corbata Larga, CC</t>
  </si>
  <si>
    <t>Bermuda, CC</t>
  </si>
  <si>
    <t>Polera m/c, CC</t>
  </si>
  <si>
    <t>Polera m/l, CC</t>
  </si>
  <si>
    <t>Short, CC</t>
  </si>
  <si>
    <t>Calza corta, CC</t>
  </si>
  <si>
    <t>Calza larga, CC</t>
  </si>
  <si>
    <t>Pantalón dama, CC</t>
  </si>
  <si>
    <t>Blusa m/c, CC</t>
  </si>
  <si>
    <t>Blusa m/l, CC</t>
  </si>
  <si>
    <t>Falda Plisada, CC</t>
  </si>
  <si>
    <t>Jamper, CC</t>
  </si>
  <si>
    <t>Vestido, CC</t>
  </si>
  <si>
    <t>Chompa c/v, CC</t>
  </si>
  <si>
    <t>Chaleco c/v, CC</t>
  </si>
  <si>
    <t>Chamarra ver, CC</t>
  </si>
  <si>
    <t>Chamarra dep, CC</t>
  </si>
  <si>
    <t>Chamarra inv, CC</t>
  </si>
  <si>
    <t>Buzo dep, CC</t>
  </si>
  <si>
    <t>Polera de colores, CC</t>
  </si>
  <si>
    <t>Polera Bullying, CC</t>
  </si>
  <si>
    <t>Saco, CC</t>
  </si>
  <si>
    <t>* Actualizados a diciembre de 2022</t>
  </si>
  <si>
    <t>Corbata c/elas, CC</t>
  </si>
  <si>
    <t>Pantalón c/elas, CC</t>
  </si>
  <si>
    <t>Pantalón de Varon</t>
  </si>
  <si>
    <t>-</t>
  </si>
  <si>
    <t>Camisa m/c</t>
  </si>
  <si>
    <t>Camisa m/l</t>
  </si>
  <si>
    <t>Corbata Larga</t>
  </si>
  <si>
    <t>Pantalón c/elas</t>
  </si>
  <si>
    <t>Polera m/c</t>
  </si>
  <si>
    <t>Polera m/l</t>
  </si>
  <si>
    <t>Pantalón Dama</t>
  </si>
  <si>
    <t>Blusa m/c</t>
  </si>
  <si>
    <t>Blusa m/l</t>
  </si>
  <si>
    <t>Corbata c/elas</t>
  </si>
  <si>
    <t>Falda Plisada</t>
  </si>
  <si>
    <t>Chompa c/v</t>
  </si>
  <si>
    <t>Chaleco c/v</t>
  </si>
  <si>
    <t>Chamarra ver</t>
  </si>
  <si>
    <t>Chamarra dep</t>
  </si>
  <si>
    <t>Chamarra inv</t>
  </si>
  <si>
    <t>Buzo dep</t>
  </si>
  <si>
    <t>Saco a medida Gde</t>
  </si>
  <si>
    <t>Saco a medida Peq</t>
  </si>
  <si>
    <t>Gorro</t>
  </si>
  <si>
    <t>Gorra</t>
  </si>
  <si>
    <t>Sombrero</t>
  </si>
  <si>
    <t>Lanyard</t>
  </si>
  <si>
    <t>Riñonera</t>
  </si>
  <si>
    <t>Cinturón</t>
  </si>
  <si>
    <t>* Actualizados a Agosto de 2024</t>
  </si>
  <si>
    <t>INVENTARIO COLEGIO CAMBRIDGE AL 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</si>
</sst>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"/>
    <numFmt numFmtId="166" formatCode="0.0%"/>
    <numFmt numFmtId="167" formatCode="_(* #,##0_);_(* \(#,##0\);_(* &quot;-&quot;??_);_(@_)"/>
    <numFmt numFmtId="168" formatCode="_(* #,##0.0_);_(* \(#,##0.0\);_(* &quot;-&quot;??_);_(@_)"/>
    <numFmt numFmtId="169" formatCode="0.000"/>
    <numFmt numFmtId="170" formatCode="0.0000"/>
    <numFmt numFmtId="171" formatCode="_(* #,##0.000_);_(* \(#,##0.000\);_(* &quot;-&quot;??_);_(@_)"/>
    <numFmt numFmtId="172" formatCode="0;\ \-0;\ \-;\ @"/>
  </numFmts>
  <fonts count="20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8"/>
      <color indexed="81"/>
      <name val="Tahoma"/>
      <family val="2"/>
    </font>
    <font>
      <b/>
      <sz val="11"/>
      <name val="Arial"/>
      <family val="2"/>
    </font>
    <font>
      <b/>
      <sz val="12"/>
      <name val="Verdana"/>
      <family val="2"/>
    </font>
    <font>
      <sz val="10"/>
      <color rgb="FFFF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Verdana"/>
      <family val="2"/>
    </font>
    <font>
      <b/>
      <sz val="10"/>
      <color theme="0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indexed="8"/>
      <name val="Verdana"/>
      <family val="2"/>
    </font>
    <font>
      <b/>
      <sz val="11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67051C"/>
        <bgColor indexed="64"/>
      </patternFill>
    </fill>
    <fill>
      <patternFill patternType="solid">
        <fgColor rgb="FFFFB3B3"/>
        <bgColor theme="7" tint="0.79998168889431442"/>
      </patternFill>
    </fill>
    <fill>
      <patternFill patternType="solid">
        <fgColor rgb="FF67051C"/>
        <bgColor theme="7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7"/>
      </bottom>
      <diagonal/>
    </border>
    <border>
      <left style="medium">
        <color theme="0" tint="-4.9989318521683403E-2"/>
      </left>
      <right style="medium">
        <color theme="7" tint="0.3999450666829432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rgb="FF67051C"/>
      </right>
      <top style="medium">
        <color theme="0" tint="-4.9989318521683403E-2"/>
      </top>
      <bottom style="thin">
        <color rgb="FF67051C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thin">
        <color rgb="FF67051C"/>
      </bottom>
      <diagonal/>
    </border>
    <border>
      <left style="thin">
        <color rgb="FF67051C"/>
      </left>
      <right style="medium">
        <color theme="0" tint="-4.9989318521683403E-2"/>
      </right>
      <top style="medium">
        <color theme="0" tint="-4.9989318521683403E-2"/>
      </top>
      <bottom style="thin">
        <color rgb="FF67051C"/>
      </bottom>
      <diagonal/>
    </border>
    <border>
      <left style="medium">
        <color theme="0" tint="-4.9989318521683403E-2"/>
      </left>
      <right style="thin">
        <color rgb="FF67051C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rgb="FF67051C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rgb="FF67051C"/>
      </right>
      <top style="thin">
        <color rgb="FF67051C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rgb="FF67051C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thin">
        <color rgb="FF67051C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7" tint="0.39994506668294322"/>
      </right>
      <top style="thin">
        <color rgb="FF67051C"/>
      </top>
      <bottom style="medium">
        <color theme="0" tint="-4.9989318521683403E-2"/>
      </bottom>
      <diagonal/>
    </border>
    <border>
      <left style="thin">
        <color rgb="FF67051C"/>
      </left>
      <right style="medium">
        <color theme="0" tint="-4.9989318521683403E-2"/>
      </right>
      <top style="thin">
        <color rgb="FF67051C"/>
      </top>
      <bottom style="medium">
        <color theme="0" tint="-4.9989318521683403E-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2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1" applyFont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67" fontId="6" fillId="0" borderId="3" xfId="1" applyNumberFormat="1" applyFont="1" applyBorder="1" applyAlignment="1">
      <alignment horizontal="right" vertical="center" wrapText="1" indent="2"/>
    </xf>
    <xf numFmtId="167" fontId="6" fillId="2" borderId="3" xfId="1" applyNumberFormat="1" applyFont="1" applyFill="1" applyBorder="1" applyAlignment="1">
      <alignment horizontal="right" vertical="center" wrapText="1" indent="2"/>
    </xf>
    <xf numFmtId="0" fontId="3" fillId="0" borderId="0" xfId="0" applyFont="1" applyAlignment="1">
      <alignment horizontal="center"/>
    </xf>
    <xf numFmtId="165" fontId="0" fillId="0" borderId="0" xfId="0" applyNumberFormat="1"/>
    <xf numFmtId="2" fontId="6" fillId="2" borderId="3" xfId="0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1" fontId="0" fillId="0" borderId="0" xfId="0" applyNumberFormat="1"/>
    <xf numFmtId="164" fontId="5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7" fontId="6" fillId="0" borderId="3" xfId="1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68" fontId="6" fillId="0" borderId="3" xfId="1" applyNumberFormat="1" applyFont="1" applyBorder="1" applyAlignment="1">
      <alignment horizontal="center" vertical="center" wrapText="1"/>
    </xf>
    <xf numFmtId="168" fontId="6" fillId="2" borderId="3" xfId="0" applyNumberFormat="1" applyFont="1" applyFill="1" applyBorder="1" applyAlignment="1">
      <alignment horizontal="center" vertical="center"/>
    </xf>
    <xf numFmtId="168" fontId="6" fillId="2" borderId="3" xfId="1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2" fontId="6" fillId="0" borderId="0" xfId="1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5" fillId="0" borderId="5" xfId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" fontId="6" fillId="2" borderId="0" xfId="1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right" vertical="center"/>
    </xf>
    <xf numFmtId="1" fontId="6" fillId="0" borderId="0" xfId="1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" fontId="13" fillId="0" borderId="0" xfId="1" applyNumberFormat="1" applyFont="1" applyAlignment="1">
      <alignment horizontal="right" vertical="center"/>
    </xf>
    <xf numFmtId="2" fontId="13" fillId="0" borderId="0" xfId="1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169" fontId="6" fillId="0" borderId="0" xfId="1" applyNumberFormat="1" applyFont="1" applyAlignment="1">
      <alignment horizontal="righ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7" fontId="10" fillId="0" borderId="3" xfId="1" applyNumberFormat="1" applyFont="1" applyBorder="1" applyAlignment="1">
      <alignment horizontal="center" vertical="center" wrapText="1"/>
    </xf>
    <xf numFmtId="167" fontId="6" fillId="2" borderId="3" xfId="1" applyNumberFormat="1" applyFont="1" applyFill="1" applyBorder="1" applyAlignment="1">
      <alignment horizontal="center" vertical="center" wrapText="1"/>
    </xf>
    <xf numFmtId="168" fontId="10" fillId="0" borderId="3" xfId="1" applyNumberFormat="1" applyFont="1" applyBorder="1" applyAlignment="1">
      <alignment horizontal="center" vertical="center" wrapText="1"/>
    </xf>
    <xf numFmtId="168" fontId="5" fillId="0" borderId="3" xfId="1" applyNumberFormat="1" applyFont="1" applyBorder="1" applyAlignment="1">
      <alignment horizontal="center" vertical="center" wrapText="1"/>
    </xf>
    <xf numFmtId="168" fontId="5" fillId="2" borderId="3" xfId="1" applyNumberFormat="1" applyFont="1" applyFill="1" applyBorder="1" applyAlignment="1">
      <alignment horizontal="center" vertical="center" wrapText="1"/>
    </xf>
    <xf numFmtId="168" fontId="6" fillId="2" borderId="3" xfId="1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2" fontId="6" fillId="0" borderId="11" xfId="0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1" fontId="13" fillId="0" borderId="0" xfId="1" applyNumberFormat="1" applyFont="1" applyAlignment="1">
      <alignment horizontal="center" vertical="center"/>
    </xf>
    <xf numFmtId="2" fontId="6" fillId="2" borderId="14" xfId="1" applyNumberFormat="1" applyFont="1" applyFill="1" applyBorder="1" applyAlignment="1">
      <alignment horizontal="center" vertical="center"/>
    </xf>
    <xf numFmtId="2" fontId="6" fillId="2" borderId="13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1" fontId="5" fillId="2" borderId="0" xfId="1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left" vertical="center"/>
    </xf>
    <xf numFmtId="1" fontId="6" fillId="2" borderId="0" xfId="1" applyNumberFormat="1" applyFont="1" applyFill="1" applyAlignment="1">
      <alignment horizontal="right" vertical="center"/>
    </xf>
    <xf numFmtId="2" fontId="6" fillId="2" borderId="0" xfId="1" applyNumberFormat="1" applyFont="1" applyFill="1" applyAlignment="1">
      <alignment horizontal="right" vertical="center"/>
    </xf>
    <xf numFmtId="167" fontId="6" fillId="2" borderId="0" xfId="1" applyNumberFormat="1" applyFont="1" applyFill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68" fontId="15" fillId="0" borderId="3" xfId="1" applyNumberFormat="1" applyFont="1" applyBorder="1" applyAlignment="1">
      <alignment horizontal="center" vertical="center" wrapText="1"/>
    </xf>
    <xf numFmtId="168" fontId="15" fillId="2" borderId="3" xfId="1" applyNumberFormat="1" applyFont="1" applyFill="1" applyBorder="1" applyAlignment="1">
      <alignment horizontal="center" vertical="center" wrapText="1"/>
    </xf>
    <xf numFmtId="167" fontId="15" fillId="0" borderId="3" xfId="1" applyNumberFormat="1" applyFont="1" applyBorder="1" applyAlignment="1">
      <alignment horizontal="center" vertical="center" wrapText="1"/>
    </xf>
    <xf numFmtId="167" fontId="15" fillId="2" borderId="3" xfId="1" applyNumberFormat="1" applyFont="1" applyFill="1" applyBorder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69" fontId="13" fillId="0" borderId="0" xfId="1" applyNumberFormat="1" applyFont="1" applyAlignment="1">
      <alignment horizontal="right" vertical="center"/>
    </xf>
    <xf numFmtId="1" fontId="5" fillId="0" borderId="12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9" fontId="5" fillId="0" borderId="11" xfId="0" applyNumberFormat="1" applyFont="1" applyBorder="1" applyAlignment="1">
      <alignment horizontal="center" vertical="center"/>
    </xf>
    <xf numFmtId="170" fontId="6" fillId="0" borderId="0" xfId="1" applyNumberFormat="1" applyFont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1" fontId="5" fillId="2" borderId="0" xfId="0" applyNumberFormat="1" applyFont="1" applyFill="1" applyAlignment="1" applyProtection="1">
      <alignment horizontal="center" vertical="center" wrapTex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2" borderId="12" xfId="0" applyNumberFormat="1" applyFont="1" applyFill="1" applyBorder="1" applyAlignment="1" applyProtection="1">
      <alignment horizontal="center" vertical="center" wrapText="1"/>
      <protection locked="0"/>
    </xf>
    <xf numFmtId="1" fontId="5" fillId="0" borderId="12" xfId="0" applyNumberFormat="1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" fontId="6" fillId="0" borderId="12" xfId="0" applyNumberFormat="1" applyFont="1" applyBorder="1" applyAlignment="1">
      <alignment horizontal="left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1" fontId="6" fillId="2" borderId="0" xfId="1" applyNumberFormat="1" applyFont="1" applyFill="1" applyAlignment="1">
      <alignment horizontal="left" vertical="center"/>
    </xf>
    <xf numFmtId="1" fontId="5" fillId="2" borderId="0" xfId="1" applyNumberFormat="1" applyFont="1" applyFill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2" fillId="0" borderId="0" xfId="0" applyNumberFormat="1" applyFont="1"/>
    <xf numFmtId="49" fontId="5" fillId="2" borderId="3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1" fontId="6" fillId="0" borderId="13" xfId="1" applyNumberFormat="1" applyFont="1" applyBorder="1" applyAlignment="1">
      <alignment horizontal="center" vertical="center"/>
    </xf>
    <xf numFmtId="1" fontId="6" fillId="0" borderId="14" xfId="1" applyNumberFormat="1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>
      <alignment horizontal="center" vertical="center"/>
    </xf>
    <xf numFmtId="1" fontId="6" fillId="2" borderId="13" xfId="1" applyNumberFormat="1" applyFont="1" applyFill="1" applyBorder="1" applyAlignment="1">
      <alignment horizontal="center" vertical="center"/>
    </xf>
    <xf numFmtId="1" fontId="6" fillId="2" borderId="14" xfId="1" applyNumberFormat="1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165" fontId="6" fillId="2" borderId="3" xfId="0" applyNumberFormat="1" applyFont="1" applyFill="1" applyBorder="1" applyAlignment="1">
      <alignment horizontal="center"/>
    </xf>
    <xf numFmtId="165" fontId="6" fillId="2" borderId="3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16" fillId="0" borderId="4" xfId="0" applyFont="1" applyBorder="1" applyAlignment="1">
      <alignment vertical="center"/>
    </xf>
    <xf numFmtId="171" fontId="5" fillId="0" borderId="3" xfId="1" applyNumberFormat="1" applyFont="1" applyBorder="1" applyAlignment="1">
      <alignment horizontal="center" vertical="center" wrapText="1"/>
    </xf>
    <xf numFmtId="171" fontId="5" fillId="2" borderId="3" xfId="1" applyNumberFormat="1" applyFont="1" applyFill="1" applyBorder="1" applyAlignment="1">
      <alignment horizontal="center" vertical="center" wrapText="1"/>
    </xf>
    <xf numFmtId="164" fontId="6" fillId="0" borderId="3" xfId="1" applyFont="1" applyBorder="1" applyAlignment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168" fontId="6" fillId="0" borderId="3" xfId="1" applyNumberFormat="1" applyFont="1" applyBorder="1" applyAlignment="1">
      <alignment horizontal="center" vertical="center"/>
    </xf>
    <xf numFmtId="168" fontId="17" fillId="0" borderId="0" xfId="0" applyNumberFormat="1" applyFont="1"/>
    <xf numFmtId="168" fontId="16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0" fontId="9" fillId="0" borderId="4" xfId="0" applyFont="1" applyBorder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2" fontId="6" fillId="0" borderId="3" xfId="1" applyNumberFormat="1" applyFont="1" applyBorder="1" applyAlignment="1">
      <alignment horizontal="center" vertical="center"/>
    </xf>
    <xf numFmtId="172" fontId="6" fillId="2" borderId="3" xfId="1" applyNumberFormat="1" applyFont="1" applyFill="1" applyBorder="1" applyAlignment="1">
      <alignment horizontal="center" vertical="center"/>
    </xf>
    <xf numFmtId="172" fontId="6" fillId="2" borderId="3" xfId="0" applyNumberFormat="1" applyFont="1" applyFill="1" applyBorder="1" applyAlignment="1">
      <alignment horizontal="center" vertical="center"/>
    </xf>
    <xf numFmtId="172" fontId="6" fillId="0" borderId="3" xfId="0" applyNumberFormat="1" applyFont="1" applyBorder="1" applyAlignment="1">
      <alignment horizontal="center" vertical="center"/>
    </xf>
    <xf numFmtId="172" fontId="6" fillId="0" borderId="13" xfId="1" applyNumberFormat="1" applyFont="1" applyBorder="1" applyAlignment="1">
      <alignment horizontal="center" vertical="center"/>
    </xf>
    <xf numFmtId="172" fontId="6" fillId="0" borderId="14" xfId="1" applyNumberFormat="1" applyFont="1" applyBorder="1" applyAlignment="1">
      <alignment horizontal="center" vertical="center"/>
    </xf>
    <xf numFmtId="172" fontId="6" fillId="2" borderId="13" xfId="1" applyNumberFormat="1" applyFont="1" applyFill="1" applyBorder="1" applyAlignment="1">
      <alignment horizontal="center" vertical="center"/>
    </xf>
    <xf numFmtId="172" fontId="6" fillId="2" borderId="14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0" fontId="2" fillId="0" borderId="0" xfId="2" applyFont="1"/>
    <xf numFmtId="0" fontId="2" fillId="0" borderId="0" xfId="2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172" fontId="18" fillId="0" borderId="15" xfId="2" applyNumberFormat="1" applyFont="1" applyBorder="1" applyAlignment="1">
      <alignment horizontal="center" vertical="center"/>
    </xf>
    <xf numFmtId="172" fontId="18" fillId="0" borderId="16" xfId="2" applyNumberFormat="1" applyFont="1" applyBorder="1" applyAlignment="1">
      <alignment horizontal="center" vertical="center"/>
    </xf>
    <xf numFmtId="172" fontId="4" fillId="0" borderId="16" xfId="2" applyNumberFormat="1" applyFont="1" applyBorder="1" applyAlignment="1">
      <alignment horizontal="center" vertical="center"/>
    </xf>
    <xf numFmtId="1" fontId="19" fillId="4" borderId="17" xfId="2" applyNumberFormat="1" applyFont="1" applyFill="1" applyBorder="1" applyAlignment="1">
      <alignment horizontal="center" vertical="center"/>
    </xf>
    <xf numFmtId="172" fontId="18" fillId="5" borderId="18" xfId="2" applyNumberFormat="1" applyFont="1" applyFill="1" applyBorder="1" applyAlignment="1">
      <alignment horizontal="center" vertical="center"/>
    </xf>
    <xf numFmtId="172" fontId="18" fillId="5" borderId="3" xfId="2" applyNumberFormat="1" applyFont="1" applyFill="1" applyBorder="1" applyAlignment="1">
      <alignment horizontal="center" vertical="center"/>
    </xf>
    <xf numFmtId="172" fontId="4" fillId="5" borderId="3" xfId="2" applyNumberFormat="1" applyFont="1" applyFill="1" applyBorder="1" applyAlignment="1">
      <alignment horizontal="center" vertical="center"/>
    </xf>
    <xf numFmtId="1" fontId="19" fillId="6" borderId="19" xfId="2" applyNumberFormat="1" applyFont="1" applyFill="1" applyBorder="1" applyAlignment="1">
      <alignment horizontal="center" vertical="center"/>
    </xf>
    <xf numFmtId="172" fontId="18" fillId="0" borderId="18" xfId="2" applyNumberFormat="1" applyFont="1" applyBorder="1" applyAlignment="1">
      <alignment horizontal="center" vertical="center"/>
    </xf>
    <xf numFmtId="172" fontId="18" fillId="0" borderId="3" xfId="2" applyNumberFormat="1" applyFont="1" applyBorder="1" applyAlignment="1">
      <alignment horizontal="center" vertical="center"/>
    </xf>
    <xf numFmtId="172" fontId="4" fillId="0" borderId="3" xfId="2" applyNumberFormat="1" applyFont="1" applyBorder="1" applyAlignment="1">
      <alignment horizontal="center" vertical="center"/>
    </xf>
    <xf numFmtId="1" fontId="19" fillId="4" borderId="19" xfId="2" applyNumberFormat="1" applyFont="1" applyFill="1" applyBorder="1" applyAlignment="1">
      <alignment horizontal="center" vertical="center"/>
    </xf>
    <xf numFmtId="172" fontId="4" fillId="0" borderId="3" xfId="2" applyNumberFormat="1" applyFont="1" applyBorder="1" applyAlignment="1">
      <alignment horizontal="center" vertical="center" wrapText="1"/>
    </xf>
    <xf numFmtId="49" fontId="19" fillId="6" borderId="20" xfId="2" applyNumberFormat="1" applyFont="1" applyFill="1" applyBorder="1" applyAlignment="1">
      <alignment horizontal="center" vertical="center"/>
    </xf>
    <xf numFmtId="49" fontId="19" fillId="6" borderId="21" xfId="2" applyNumberFormat="1" applyFont="1" applyFill="1" applyBorder="1" applyAlignment="1">
      <alignment horizontal="center" vertical="center"/>
    </xf>
    <xf numFmtId="49" fontId="19" fillId="6" borderId="22" xfId="2" applyNumberFormat="1" applyFont="1" applyFill="1" applyBorder="1" applyAlignment="1">
      <alignment horizontal="center" vertical="center"/>
    </xf>
    <xf numFmtId="49" fontId="19" fillId="6" borderId="23" xfId="2" applyNumberFormat="1" applyFont="1" applyFill="1" applyBorder="1" applyAlignment="1">
      <alignment horizontal="center" vertical="center"/>
    </xf>
    <xf numFmtId="49" fontId="19" fillId="6" borderId="24" xfId="2" applyNumberFormat="1" applyFont="1" applyFill="1" applyBorder="1" applyAlignment="1">
      <alignment horizontal="center" vertical="center"/>
    </xf>
    <xf numFmtId="1" fontId="19" fillId="6" borderId="17" xfId="2" applyNumberFormat="1" applyFont="1" applyFill="1" applyBorder="1" applyAlignment="1">
      <alignment horizontal="center" vertical="center"/>
    </xf>
    <xf numFmtId="172" fontId="4" fillId="5" borderId="16" xfId="2" applyNumberFormat="1" applyFont="1" applyFill="1" applyBorder="1" applyAlignment="1">
      <alignment horizontal="center" vertical="center"/>
    </xf>
    <xf numFmtId="172" fontId="18" fillId="5" borderId="16" xfId="2" applyNumberFormat="1" applyFont="1" applyFill="1" applyBorder="1" applyAlignment="1">
      <alignment horizontal="center" vertical="center"/>
    </xf>
    <xf numFmtId="172" fontId="18" fillId="5" borderId="15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 wrapText="1"/>
    </xf>
    <xf numFmtId="49" fontId="5" fillId="2" borderId="25" xfId="0" applyNumberFormat="1" applyFont="1" applyFill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left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25" xfId="1" applyNumberFormat="1" applyFont="1" applyBorder="1" applyAlignment="1">
      <alignment horizontal="center" vertical="center"/>
    </xf>
    <xf numFmtId="1" fontId="6" fillId="2" borderId="25" xfId="0" applyNumberFormat="1" applyFont="1" applyFill="1" applyBorder="1" applyAlignment="1">
      <alignment horizontal="center"/>
    </xf>
    <xf numFmtId="0" fontId="6" fillId="2" borderId="25" xfId="0" applyFont="1" applyFill="1" applyBorder="1" applyAlignment="1">
      <alignment horizontal="left" vertical="center"/>
    </xf>
    <xf numFmtId="1" fontId="6" fillId="2" borderId="25" xfId="0" applyNumberFormat="1" applyFont="1" applyFill="1" applyBorder="1" applyAlignment="1">
      <alignment horizontal="center" vertical="center"/>
    </xf>
    <xf numFmtId="1" fontId="6" fillId="2" borderId="25" xfId="1" applyNumberFormat="1" applyFont="1" applyFill="1" applyBorder="1" applyAlignment="1">
      <alignment horizontal="center" vertical="center"/>
    </xf>
    <xf numFmtId="0" fontId="2" fillId="0" borderId="25" xfId="0" applyFont="1" applyBorder="1"/>
    <xf numFmtId="0" fontId="6" fillId="2" borderId="25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C35D2672-4692-45AD-8213-0856C356F274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numFmt numFmtId="167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Verdan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348853</xdr:colOff>
      <xdr:row>17</xdr:row>
      <xdr:rowOff>53579</xdr:rowOff>
    </xdr:from>
    <xdr:to>
      <xdr:col>3</xdr:col>
      <xdr:colOff>491728</xdr:colOff>
      <xdr:row>17</xdr:row>
      <xdr:rowOff>196454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1BD9FAD1-D199-5748-498D-70DB78B072C2}"/>
            </a:ext>
          </a:extLst>
        </xdr:cNvPr>
        <xdr:cNvSpPr/>
      </xdr:nvSpPr>
      <xdr:spPr>
        <a:xfrm>
          <a:off x="4027884" y="3768329"/>
          <a:ext cx="142875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398859</xdr:colOff>
      <xdr:row>17</xdr:row>
      <xdr:rowOff>53579</xdr:rowOff>
    </xdr:from>
    <xdr:to>
      <xdr:col>5</xdr:col>
      <xdr:colOff>541734</xdr:colOff>
      <xdr:row>17</xdr:row>
      <xdr:rowOff>196454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C1258184-46B9-4F9F-B89B-022F1F2D6C73}"/>
            </a:ext>
          </a:extLst>
        </xdr:cNvPr>
        <xdr:cNvSpPr/>
      </xdr:nvSpPr>
      <xdr:spPr>
        <a:xfrm>
          <a:off x="5423297" y="3768329"/>
          <a:ext cx="142875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7</xdr:col>
      <xdr:colOff>398859</xdr:colOff>
      <xdr:row>17</xdr:row>
      <xdr:rowOff>53579</xdr:rowOff>
    </xdr:from>
    <xdr:to>
      <xdr:col>7</xdr:col>
      <xdr:colOff>541734</xdr:colOff>
      <xdr:row>17</xdr:row>
      <xdr:rowOff>196454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566BD145-6456-4083-B6E2-EF359411EF3E}"/>
            </a:ext>
          </a:extLst>
        </xdr:cNvPr>
        <xdr:cNvSpPr/>
      </xdr:nvSpPr>
      <xdr:spPr>
        <a:xfrm>
          <a:off x="7084218" y="3768329"/>
          <a:ext cx="142875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32:H70" totalsRowShown="0" headerRowDxfId="9" dataDxfId="8" dataCellStyle="Millares">
  <autoFilter ref="A32:H70" xr:uid="{00000000-0009-0000-0100-000002000000}"/>
  <tableColumns count="8">
    <tableColumn id="1" xr3:uid="{00000000-0010-0000-0000-000001000000}" name="DESCRIPCION" dataDxfId="7"/>
    <tableColumn id="2" xr3:uid="{00000000-0010-0000-0000-000002000000}" name="CODIGO" dataDxfId="6"/>
    <tableColumn id="3" xr3:uid="{00000000-0010-0000-0000-000003000000}" name="UNIDAD DE COMPRA" dataDxfId="5"/>
    <tableColumn id="4" xr3:uid="{00000000-0010-0000-0000-000004000000}" name="Cantidad x &quot;unidad de compra&quot;" dataDxfId="4" dataCellStyle="Millares"/>
    <tableColumn id="5" xr3:uid="{00000000-0010-0000-0000-000005000000}" name="COSTO &quot;Unidad de Compra&quot;   Bs." dataDxfId="3" dataCellStyle="Millares"/>
    <tableColumn id="6" xr3:uid="{00000000-0010-0000-0000-000006000000}" name="COSTO Unitario Bs." dataDxfId="2" dataCellStyle="Millares">
      <calculatedColumnFormula>E33/D33</calculatedColumnFormula>
    </tableColumn>
    <tableColumn id="7" xr3:uid="{00000000-0010-0000-0000-000007000000}" name="Costo de Uso en prendas" dataDxfId="1">
      <calculatedColumnFormula>F33</calculatedColumnFormula>
    </tableColumn>
    <tableColumn id="8" xr3:uid="{0C62DFDE-1743-4A6D-9C5A-51AAD58F0C5F}" name="OJALES" dataDxfId="0" dataCellStyle="Millares">
      <calculatedColumnFormula>7*1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R65"/>
  <sheetViews>
    <sheetView topLeftCell="A16" zoomScale="80" zoomScaleNormal="80" workbookViewId="0">
      <selection activeCell="C26" sqref="C26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1" spans="1:18" ht="20.25" customHeight="1" thickBot="1" x14ac:dyDescent="0.3">
      <c r="A1" s="212" t="str">
        <f>CONCATENATE("PESO DE MATERIA PRIMA EN GRAMOS MAS EL ",$B$62," % DE MERMA")</f>
        <v>PESO DE MATERIA PRIMA EN GRAMOS MAS EL 8 % DE MERMA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22">
        <v>1</v>
      </c>
      <c r="B3" s="23" t="s">
        <v>1</v>
      </c>
      <c r="C3" s="29">
        <f t="shared" ref="C3:Q16" si="0">IF(C34&gt;0,C34*($B$62/100+1),0)</f>
        <v>0</v>
      </c>
      <c r="D3" s="29">
        <f t="shared" ref="D3:R3" si="1">IF(D34&gt;0,D34*($B$62/100+1),0)</f>
        <v>0</v>
      </c>
      <c r="E3" s="29">
        <f t="shared" si="1"/>
        <v>0</v>
      </c>
      <c r="F3" s="29">
        <f t="shared" si="1"/>
        <v>0</v>
      </c>
      <c r="G3" s="29">
        <f t="shared" si="1"/>
        <v>0</v>
      </c>
      <c r="H3" s="29">
        <f t="shared" si="1"/>
        <v>0</v>
      </c>
      <c r="I3" s="29">
        <f t="shared" si="1"/>
        <v>0</v>
      </c>
      <c r="J3" s="29">
        <f t="shared" si="1"/>
        <v>340.20000000000005</v>
      </c>
      <c r="K3" s="29">
        <f t="shared" si="1"/>
        <v>361.8</v>
      </c>
      <c r="L3" s="29">
        <f t="shared" si="1"/>
        <v>372.6</v>
      </c>
      <c r="M3" s="29">
        <f t="shared" si="1"/>
        <v>388.8</v>
      </c>
      <c r="N3" s="29">
        <f t="shared" si="1"/>
        <v>405</v>
      </c>
      <c r="O3" s="29">
        <f t="shared" si="1"/>
        <v>415.8</v>
      </c>
      <c r="P3" s="29">
        <f t="shared" si="1"/>
        <v>435.24</v>
      </c>
      <c r="Q3" s="29">
        <f t="shared" si="1"/>
        <v>447.12</v>
      </c>
      <c r="R3" s="29">
        <f t="shared" si="1"/>
        <v>464.40000000000003</v>
      </c>
    </row>
    <row r="4" spans="1:18" ht="20.25" customHeight="1" thickBot="1" x14ac:dyDescent="0.3">
      <c r="A4" s="24">
        <v>2</v>
      </c>
      <c r="B4" s="25" t="s">
        <v>2</v>
      </c>
      <c r="C4" s="30">
        <f t="shared" si="0"/>
        <v>104.76</v>
      </c>
      <c r="D4" s="30">
        <f t="shared" ref="D4:J4" si="2">IF(D35&gt;0,D35*($B$62/100+1),0)</f>
        <v>112.32000000000001</v>
      </c>
      <c r="E4" s="30">
        <f t="shared" si="2"/>
        <v>119.88000000000001</v>
      </c>
      <c r="F4" s="30">
        <f t="shared" si="2"/>
        <v>127.44000000000001</v>
      </c>
      <c r="G4" s="30">
        <f t="shared" si="2"/>
        <v>135</v>
      </c>
      <c r="H4" s="30">
        <f t="shared" si="2"/>
        <v>142.56</v>
      </c>
      <c r="I4" s="30">
        <f t="shared" si="2"/>
        <v>150.12</v>
      </c>
      <c r="J4" s="30">
        <f t="shared" si="2"/>
        <v>157.68</v>
      </c>
      <c r="K4" s="30"/>
      <c r="L4" s="30">
        <f t="shared" ref="L4:Q5" si="3">IF(L35&gt;0,L35*($B$62/100+1),0)</f>
        <v>165.24</v>
      </c>
      <c r="M4" s="30">
        <f t="shared" si="3"/>
        <v>172.8</v>
      </c>
      <c r="N4" s="30">
        <f t="shared" si="3"/>
        <v>180.36</v>
      </c>
      <c r="O4" s="30">
        <f t="shared" si="3"/>
        <v>187.92000000000002</v>
      </c>
      <c r="P4" s="30">
        <f t="shared" si="3"/>
        <v>197.64000000000001</v>
      </c>
      <c r="Q4" s="30">
        <f t="shared" si="3"/>
        <v>206.28</v>
      </c>
      <c r="R4" s="30"/>
    </row>
    <row r="5" spans="1:18" ht="20.25" customHeight="1" thickBot="1" x14ac:dyDescent="0.3">
      <c r="A5" s="22">
        <v>3</v>
      </c>
      <c r="B5" s="23" t="s">
        <v>138</v>
      </c>
      <c r="C5" s="29">
        <f t="shared" si="0"/>
        <v>115.56</v>
      </c>
      <c r="D5" s="29">
        <f t="shared" ref="D5:J5" si="4">IF(D36&gt;0,D36*($B$62/100+1),0)</f>
        <v>123.12</v>
      </c>
      <c r="E5" s="29">
        <f t="shared" si="4"/>
        <v>130.68</v>
      </c>
      <c r="F5" s="29">
        <f t="shared" si="4"/>
        <v>138.24</v>
      </c>
      <c r="G5" s="29">
        <f t="shared" si="4"/>
        <v>145.80000000000001</v>
      </c>
      <c r="H5" s="29">
        <f t="shared" si="4"/>
        <v>153.36000000000001</v>
      </c>
      <c r="I5" s="29">
        <f t="shared" si="4"/>
        <v>160.92000000000002</v>
      </c>
      <c r="J5" s="29">
        <f t="shared" si="4"/>
        <v>168.48000000000002</v>
      </c>
      <c r="K5" s="29"/>
      <c r="L5" s="29">
        <f t="shared" si="3"/>
        <v>176.04000000000002</v>
      </c>
      <c r="M5" s="29">
        <f t="shared" si="3"/>
        <v>183.60000000000002</v>
      </c>
      <c r="N5" s="29">
        <f t="shared" si="3"/>
        <v>191.16000000000003</v>
      </c>
      <c r="O5" s="29">
        <f t="shared" si="3"/>
        <v>198.72000000000003</v>
      </c>
      <c r="P5" s="29">
        <f t="shared" si="3"/>
        <v>208.44000000000003</v>
      </c>
      <c r="Q5" s="29">
        <f t="shared" si="3"/>
        <v>217.08</v>
      </c>
      <c r="R5" s="29"/>
    </row>
    <row r="6" spans="1:18" ht="20.25" customHeight="1" thickBot="1" x14ac:dyDescent="0.3">
      <c r="A6" s="24">
        <v>4</v>
      </c>
      <c r="B6" s="25" t="s">
        <v>3</v>
      </c>
      <c r="C6" s="30">
        <f t="shared" si="0"/>
        <v>0</v>
      </c>
      <c r="D6" s="30">
        <f t="shared" ref="D6:Q6" si="5">IF(D37&gt;0,D37*($B$62/100+1),0)</f>
        <v>0</v>
      </c>
      <c r="E6" s="30">
        <f t="shared" si="5"/>
        <v>0</v>
      </c>
      <c r="F6" s="30">
        <f t="shared" si="5"/>
        <v>0</v>
      </c>
      <c r="G6" s="30">
        <f t="shared" si="5"/>
        <v>0</v>
      </c>
      <c r="H6" s="30">
        <f t="shared" si="5"/>
        <v>0</v>
      </c>
      <c r="I6" s="30">
        <f t="shared" si="5"/>
        <v>0</v>
      </c>
      <c r="J6" s="30">
        <f t="shared" si="5"/>
        <v>0</v>
      </c>
      <c r="K6" s="30">
        <f t="shared" si="5"/>
        <v>39.96</v>
      </c>
      <c r="L6" s="30">
        <f t="shared" si="5"/>
        <v>0</v>
      </c>
      <c r="M6" s="30">
        <f t="shared" si="5"/>
        <v>0</v>
      </c>
      <c r="N6" s="30">
        <f t="shared" si="5"/>
        <v>0</v>
      </c>
      <c r="O6" s="30">
        <f t="shared" si="5"/>
        <v>0</v>
      </c>
      <c r="P6" s="30">
        <f t="shared" si="5"/>
        <v>0</v>
      </c>
      <c r="Q6" s="30">
        <f t="shared" si="5"/>
        <v>0</v>
      </c>
      <c r="R6" s="30"/>
    </row>
    <row r="7" spans="1:18" ht="20.25" customHeight="1" thickBot="1" x14ac:dyDescent="0.3">
      <c r="A7" s="22">
        <v>5</v>
      </c>
      <c r="B7" s="23" t="s">
        <v>5</v>
      </c>
      <c r="C7" s="29">
        <f t="shared" si="0"/>
        <v>145.80000000000001</v>
      </c>
      <c r="D7" s="29">
        <f t="shared" ref="D7:Q7" si="6">IF(D38&gt;0,D38*($B$62/100+1),0)</f>
        <v>168.48000000000002</v>
      </c>
      <c r="E7" s="29">
        <f t="shared" si="6"/>
        <v>191.16000000000003</v>
      </c>
      <c r="F7" s="29">
        <f t="shared" si="6"/>
        <v>214.92000000000002</v>
      </c>
      <c r="G7" s="29">
        <f t="shared" si="6"/>
        <v>237.60000000000002</v>
      </c>
      <c r="H7" s="29">
        <f t="shared" si="6"/>
        <v>257.04000000000002</v>
      </c>
      <c r="I7" s="29">
        <f t="shared" si="6"/>
        <v>276.48</v>
      </c>
      <c r="J7" s="29">
        <f t="shared" si="6"/>
        <v>295.92</v>
      </c>
      <c r="K7" s="29">
        <f t="shared" si="6"/>
        <v>0</v>
      </c>
      <c r="L7" s="29">
        <f t="shared" si="6"/>
        <v>313.20000000000005</v>
      </c>
      <c r="M7" s="29">
        <f t="shared" si="6"/>
        <v>0</v>
      </c>
      <c r="N7" s="29">
        <f t="shared" si="6"/>
        <v>0</v>
      </c>
      <c r="O7" s="29">
        <f t="shared" si="6"/>
        <v>0</v>
      </c>
      <c r="P7" s="29">
        <f t="shared" si="6"/>
        <v>0</v>
      </c>
      <c r="Q7" s="29">
        <f t="shared" si="6"/>
        <v>0</v>
      </c>
      <c r="R7" s="29"/>
    </row>
    <row r="8" spans="1:18" ht="20.25" customHeight="1" thickBot="1" x14ac:dyDescent="0.3">
      <c r="A8" s="24">
        <v>6</v>
      </c>
      <c r="B8" s="25" t="s">
        <v>6</v>
      </c>
      <c r="C8" s="30">
        <f t="shared" si="0"/>
        <v>99.360000000000014</v>
      </c>
      <c r="D8" s="30">
        <f t="shared" ref="D8:Q8" si="7">IF(D39&gt;0,D39*($B$62/100+1),0)</f>
        <v>108</v>
      </c>
      <c r="E8" s="30">
        <f t="shared" si="7"/>
        <v>119.88000000000001</v>
      </c>
      <c r="F8" s="30">
        <f t="shared" si="7"/>
        <v>133.92000000000002</v>
      </c>
      <c r="G8" s="30">
        <f t="shared" si="7"/>
        <v>153.36000000000001</v>
      </c>
      <c r="H8" s="30">
        <f t="shared" si="7"/>
        <v>171.72</v>
      </c>
      <c r="I8" s="30">
        <f t="shared" si="7"/>
        <v>178.20000000000002</v>
      </c>
      <c r="J8" s="30">
        <f t="shared" si="7"/>
        <v>192.24</v>
      </c>
      <c r="K8" s="30">
        <f t="shared" si="7"/>
        <v>0</v>
      </c>
      <c r="L8" s="30">
        <f t="shared" si="7"/>
        <v>211.68</v>
      </c>
      <c r="M8" s="30">
        <f t="shared" si="7"/>
        <v>0</v>
      </c>
      <c r="N8" s="30">
        <f t="shared" si="7"/>
        <v>0</v>
      </c>
      <c r="O8" s="30">
        <f t="shared" si="7"/>
        <v>0</v>
      </c>
      <c r="P8" s="30">
        <f t="shared" si="7"/>
        <v>0</v>
      </c>
      <c r="Q8" s="30">
        <f t="shared" si="7"/>
        <v>0</v>
      </c>
      <c r="R8" s="30"/>
    </row>
    <row r="9" spans="1:18" ht="20.25" customHeight="1" thickBot="1" x14ac:dyDescent="0.3">
      <c r="A9" s="22">
        <v>7</v>
      </c>
      <c r="B9" s="23" t="s">
        <v>7</v>
      </c>
      <c r="C9" s="29">
        <f t="shared" si="0"/>
        <v>100.44000000000001</v>
      </c>
      <c r="D9" s="29">
        <f t="shared" ref="D9:J9" si="8">IF(D40&gt;0,D40*($B$62/100+1),0)</f>
        <v>108</v>
      </c>
      <c r="E9" s="29">
        <f t="shared" si="8"/>
        <v>115.56</v>
      </c>
      <c r="F9" s="29">
        <f t="shared" si="8"/>
        <v>132.84</v>
      </c>
      <c r="G9" s="29">
        <f t="shared" si="8"/>
        <v>150.12</v>
      </c>
      <c r="H9" s="29">
        <f t="shared" si="8"/>
        <v>155.52000000000001</v>
      </c>
      <c r="I9" s="29">
        <f t="shared" si="8"/>
        <v>160.92000000000002</v>
      </c>
      <c r="J9" s="29">
        <f t="shared" si="8"/>
        <v>168.48000000000002</v>
      </c>
      <c r="K9" s="29"/>
      <c r="L9" s="29">
        <f t="shared" ref="L9:Q13" si="9">IF(L40&gt;0,L40*($B$62/100+1),0)</f>
        <v>176.04000000000002</v>
      </c>
      <c r="M9" s="29">
        <f t="shared" si="9"/>
        <v>183.60000000000002</v>
      </c>
      <c r="N9" s="29">
        <f t="shared" si="9"/>
        <v>191.16000000000003</v>
      </c>
      <c r="O9" s="29">
        <f t="shared" si="9"/>
        <v>200.88000000000002</v>
      </c>
      <c r="P9" s="29">
        <f t="shared" si="9"/>
        <v>210.60000000000002</v>
      </c>
      <c r="Q9" s="29">
        <f t="shared" si="9"/>
        <v>231.12</v>
      </c>
      <c r="R9" s="29"/>
    </row>
    <row r="10" spans="1:18" ht="20.25" customHeight="1" thickBot="1" x14ac:dyDescent="0.3">
      <c r="A10" s="24">
        <v>8</v>
      </c>
      <c r="B10" s="25" t="s">
        <v>133</v>
      </c>
      <c r="C10" s="30">
        <f t="shared" si="0"/>
        <v>116.64000000000001</v>
      </c>
      <c r="D10" s="30">
        <f t="shared" ref="D10:J10" si="10">IF(D41&gt;0,D41*($B$62/100+1),0)</f>
        <v>124.2</v>
      </c>
      <c r="E10" s="30">
        <f t="shared" si="10"/>
        <v>131.76000000000002</v>
      </c>
      <c r="F10" s="30">
        <f t="shared" si="10"/>
        <v>149.04000000000002</v>
      </c>
      <c r="G10" s="30">
        <f t="shared" si="10"/>
        <v>177.12</v>
      </c>
      <c r="H10" s="30">
        <f t="shared" si="10"/>
        <v>182.52</v>
      </c>
      <c r="I10" s="30">
        <f t="shared" si="10"/>
        <v>187.92000000000002</v>
      </c>
      <c r="J10" s="30">
        <f t="shared" si="10"/>
        <v>195.48000000000002</v>
      </c>
      <c r="K10" s="30"/>
      <c r="L10" s="30">
        <f t="shared" si="9"/>
        <v>208.44000000000003</v>
      </c>
      <c r="M10" s="30">
        <f t="shared" si="9"/>
        <v>216</v>
      </c>
      <c r="N10" s="30">
        <f t="shared" si="9"/>
        <v>223.56</v>
      </c>
      <c r="O10" s="30">
        <f t="shared" si="9"/>
        <v>233.28000000000003</v>
      </c>
      <c r="P10" s="30">
        <f t="shared" si="9"/>
        <v>243.00000000000003</v>
      </c>
      <c r="Q10" s="30">
        <f t="shared" si="9"/>
        <v>263.52000000000004</v>
      </c>
      <c r="R10" s="30"/>
    </row>
    <row r="11" spans="1:18" ht="20.25" customHeight="1" thickBot="1" x14ac:dyDescent="0.3">
      <c r="A11" s="22">
        <v>9</v>
      </c>
      <c r="B11" s="23" t="s">
        <v>8</v>
      </c>
      <c r="C11" s="29">
        <f t="shared" si="0"/>
        <v>65.88000000000001</v>
      </c>
      <c r="D11" s="29">
        <f t="shared" ref="D11:J11" si="11">IF(D42&gt;0,D42*($B$62/100+1),0)</f>
        <v>70.2</v>
      </c>
      <c r="E11" s="29">
        <f t="shared" si="11"/>
        <v>74.52000000000001</v>
      </c>
      <c r="F11" s="29">
        <f t="shared" si="11"/>
        <v>77.760000000000005</v>
      </c>
      <c r="G11" s="29">
        <f t="shared" si="11"/>
        <v>81</v>
      </c>
      <c r="H11" s="29">
        <f t="shared" si="11"/>
        <v>86.4</v>
      </c>
      <c r="I11" s="29">
        <f t="shared" si="11"/>
        <v>97.2</v>
      </c>
      <c r="J11" s="29">
        <f t="shared" si="11"/>
        <v>105.84</v>
      </c>
      <c r="K11" s="29"/>
      <c r="L11" s="29">
        <f t="shared" si="9"/>
        <v>113.4</v>
      </c>
      <c r="M11" s="29">
        <f t="shared" si="9"/>
        <v>119.88000000000001</v>
      </c>
      <c r="N11" s="29">
        <f t="shared" si="9"/>
        <v>126.36000000000001</v>
      </c>
      <c r="O11" s="29">
        <f t="shared" si="9"/>
        <v>131.76000000000002</v>
      </c>
      <c r="P11" s="29">
        <f t="shared" si="9"/>
        <v>141.48000000000002</v>
      </c>
      <c r="Q11" s="29">
        <f t="shared" si="9"/>
        <v>150.12</v>
      </c>
      <c r="R11" s="29"/>
    </row>
    <row r="12" spans="1:18" ht="20.25" customHeight="1" thickBot="1" x14ac:dyDescent="0.3">
      <c r="A12" s="24">
        <v>10</v>
      </c>
      <c r="B12" s="25" t="s">
        <v>134</v>
      </c>
      <c r="C12" s="30">
        <f t="shared" si="0"/>
        <v>84.240000000000009</v>
      </c>
      <c r="D12" s="30">
        <f t="shared" ref="D12:J12" si="12">IF(D43&gt;0,D43*($B$62/100+1),0)</f>
        <v>92.88000000000001</v>
      </c>
      <c r="E12" s="30">
        <f t="shared" si="12"/>
        <v>101.52000000000001</v>
      </c>
      <c r="F12" s="30">
        <f t="shared" si="12"/>
        <v>110.16000000000001</v>
      </c>
      <c r="G12" s="30">
        <f t="shared" si="12"/>
        <v>118.80000000000001</v>
      </c>
      <c r="H12" s="30">
        <f t="shared" si="12"/>
        <v>127.44000000000001</v>
      </c>
      <c r="I12" s="30">
        <f t="shared" si="12"/>
        <v>136.08000000000001</v>
      </c>
      <c r="J12" s="30">
        <f t="shared" si="12"/>
        <v>144.72</v>
      </c>
      <c r="K12" s="30"/>
      <c r="L12" s="30">
        <f t="shared" si="9"/>
        <v>153.36000000000001</v>
      </c>
      <c r="M12" s="30">
        <f t="shared" si="9"/>
        <v>162</v>
      </c>
      <c r="N12" s="30">
        <f t="shared" si="9"/>
        <v>172.8</v>
      </c>
      <c r="O12" s="30">
        <f t="shared" si="9"/>
        <v>183.60000000000002</v>
      </c>
      <c r="P12" s="30">
        <f t="shared" si="9"/>
        <v>193.32000000000002</v>
      </c>
      <c r="Q12" s="30">
        <f t="shared" si="9"/>
        <v>205.20000000000002</v>
      </c>
      <c r="R12" s="30"/>
    </row>
    <row r="13" spans="1:18" ht="20.25" customHeight="1" thickBot="1" x14ac:dyDescent="0.3">
      <c r="A13" s="22">
        <v>11</v>
      </c>
      <c r="B13" s="23" t="s">
        <v>135</v>
      </c>
      <c r="C13" s="29">
        <f t="shared" si="0"/>
        <v>117.72000000000001</v>
      </c>
      <c r="D13" s="29">
        <f t="shared" ref="D13:J13" si="13">IF(D44&gt;0,D44*($B$62/100+1),0)</f>
        <v>131.76000000000002</v>
      </c>
      <c r="E13" s="29">
        <f t="shared" si="13"/>
        <v>145.80000000000001</v>
      </c>
      <c r="F13" s="29">
        <f t="shared" si="13"/>
        <v>156.60000000000002</v>
      </c>
      <c r="G13" s="29">
        <f t="shared" si="13"/>
        <v>167.4</v>
      </c>
      <c r="H13" s="29">
        <f t="shared" si="13"/>
        <v>246.24</v>
      </c>
      <c r="I13" s="29">
        <f t="shared" si="13"/>
        <v>270</v>
      </c>
      <c r="J13" s="29">
        <f t="shared" si="13"/>
        <v>282.96000000000004</v>
      </c>
      <c r="K13" s="29"/>
      <c r="L13" s="29">
        <f t="shared" si="9"/>
        <v>298.08000000000004</v>
      </c>
      <c r="M13" s="29">
        <f t="shared" si="9"/>
        <v>302.40000000000003</v>
      </c>
      <c r="N13" s="29">
        <f t="shared" si="9"/>
        <v>305.64000000000004</v>
      </c>
      <c r="O13" s="29">
        <f t="shared" si="9"/>
        <v>313.20000000000005</v>
      </c>
      <c r="P13" s="29">
        <f t="shared" si="9"/>
        <v>329.40000000000003</v>
      </c>
      <c r="Q13" s="29">
        <f t="shared" si="9"/>
        <v>343.44</v>
      </c>
      <c r="R13" s="29"/>
    </row>
    <row r="14" spans="1:18" ht="20.25" customHeight="1" thickBot="1" x14ac:dyDescent="0.3">
      <c r="A14" s="24">
        <v>12</v>
      </c>
      <c r="B14" s="25" t="s">
        <v>9</v>
      </c>
      <c r="C14" s="30">
        <f t="shared" si="0"/>
        <v>0</v>
      </c>
      <c r="D14" s="30">
        <f t="shared" ref="D14:Q14" si="14">IF(D45&gt;0,D45*($B$62/100+1),0)</f>
        <v>0</v>
      </c>
      <c r="E14" s="30">
        <f t="shared" si="14"/>
        <v>0</v>
      </c>
      <c r="F14" s="30">
        <f t="shared" si="14"/>
        <v>0</v>
      </c>
      <c r="G14" s="30">
        <f t="shared" si="14"/>
        <v>0</v>
      </c>
      <c r="H14" s="30">
        <f t="shared" si="14"/>
        <v>0</v>
      </c>
      <c r="I14" s="30">
        <f t="shared" si="14"/>
        <v>0</v>
      </c>
      <c r="J14" s="30">
        <f t="shared" si="14"/>
        <v>249.48000000000002</v>
      </c>
      <c r="K14" s="30">
        <f t="shared" si="14"/>
        <v>267.84000000000003</v>
      </c>
      <c r="L14" s="30">
        <f t="shared" si="14"/>
        <v>286.20000000000005</v>
      </c>
      <c r="M14" s="30">
        <f t="shared" si="14"/>
        <v>302.40000000000003</v>
      </c>
      <c r="N14" s="30">
        <f t="shared" si="14"/>
        <v>315.36</v>
      </c>
      <c r="O14" s="30">
        <f t="shared" si="14"/>
        <v>321.84000000000003</v>
      </c>
      <c r="P14" s="30">
        <f t="shared" si="14"/>
        <v>329.40000000000003</v>
      </c>
      <c r="Q14" s="30">
        <f t="shared" si="14"/>
        <v>340.20000000000005</v>
      </c>
      <c r="R14" s="30"/>
    </row>
    <row r="15" spans="1:18" ht="20.25" customHeight="1" thickBot="1" x14ac:dyDescent="0.3">
      <c r="A15" s="22">
        <v>13</v>
      </c>
      <c r="B15" s="23" t="s">
        <v>10</v>
      </c>
      <c r="C15" s="29">
        <f t="shared" si="0"/>
        <v>70.2</v>
      </c>
      <c r="D15" s="29">
        <f t="shared" ref="D15:Q15" si="15">IF(D46&gt;0,D46*($B$62/100+1),0)</f>
        <v>76.680000000000007</v>
      </c>
      <c r="E15" s="29">
        <f t="shared" si="15"/>
        <v>82.080000000000013</v>
      </c>
      <c r="F15" s="29">
        <f t="shared" si="15"/>
        <v>97.2</v>
      </c>
      <c r="G15" s="29">
        <f t="shared" si="15"/>
        <v>108</v>
      </c>
      <c r="H15" s="29">
        <f t="shared" si="15"/>
        <v>115.56</v>
      </c>
      <c r="I15" s="29">
        <f t="shared" si="15"/>
        <v>117.72000000000001</v>
      </c>
      <c r="J15" s="29">
        <f t="shared" si="15"/>
        <v>123.12</v>
      </c>
      <c r="K15" s="29">
        <f t="shared" si="15"/>
        <v>129.60000000000002</v>
      </c>
      <c r="L15" s="29">
        <f t="shared" si="15"/>
        <v>131.76000000000002</v>
      </c>
      <c r="M15" s="29">
        <f t="shared" si="15"/>
        <v>135</v>
      </c>
      <c r="N15" s="29">
        <f t="shared" si="15"/>
        <v>137.16</v>
      </c>
      <c r="O15" s="29">
        <f t="shared" si="15"/>
        <v>145.80000000000001</v>
      </c>
      <c r="P15" s="29">
        <f t="shared" si="15"/>
        <v>151.20000000000002</v>
      </c>
      <c r="Q15" s="29">
        <f t="shared" si="15"/>
        <v>156.60000000000002</v>
      </c>
      <c r="R15" s="29"/>
    </row>
    <row r="16" spans="1:18" ht="20.25" customHeight="1" thickBot="1" x14ac:dyDescent="0.3">
      <c r="A16" s="24">
        <v>14</v>
      </c>
      <c r="B16" s="25" t="s">
        <v>171</v>
      </c>
      <c r="C16" s="30">
        <f t="shared" si="0"/>
        <v>74.52000000000001</v>
      </c>
      <c r="D16" s="30">
        <f t="shared" si="0"/>
        <v>81</v>
      </c>
      <c r="E16" s="30">
        <f t="shared" si="0"/>
        <v>86.4</v>
      </c>
      <c r="F16" s="30">
        <f t="shared" si="0"/>
        <v>101.52000000000001</v>
      </c>
      <c r="G16" s="30">
        <f t="shared" si="0"/>
        <v>113.4</v>
      </c>
      <c r="H16" s="30">
        <f t="shared" si="0"/>
        <v>120.96000000000001</v>
      </c>
      <c r="I16" s="30">
        <f t="shared" si="0"/>
        <v>123.12</v>
      </c>
      <c r="J16" s="30">
        <f t="shared" si="0"/>
        <v>128.52000000000001</v>
      </c>
      <c r="K16" s="30">
        <f t="shared" si="0"/>
        <v>135</v>
      </c>
      <c r="L16" s="30">
        <f t="shared" si="0"/>
        <v>139.32000000000002</v>
      </c>
      <c r="M16" s="30">
        <f t="shared" si="0"/>
        <v>142.56</v>
      </c>
      <c r="N16" s="30">
        <f t="shared" si="0"/>
        <v>144.72</v>
      </c>
      <c r="O16" s="30">
        <f t="shared" si="0"/>
        <v>153.36000000000001</v>
      </c>
      <c r="P16" s="30">
        <f t="shared" si="0"/>
        <v>158.76000000000002</v>
      </c>
      <c r="Q16" s="30">
        <f t="shared" si="0"/>
        <v>164.16000000000003</v>
      </c>
      <c r="R16" s="30"/>
    </row>
    <row r="17" spans="1:18" ht="20.25" customHeight="1" thickBot="1" x14ac:dyDescent="0.3">
      <c r="A17" s="22">
        <v>15</v>
      </c>
      <c r="B17" s="23" t="s">
        <v>11</v>
      </c>
      <c r="C17" s="29">
        <f t="shared" ref="C17:Q17" si="16">IF(C48&gt;0,C48*($B$62/100+1),0)</f>
        <v>21.6</v>
      </c>
      <c r="D17" s="29">
        <f t="shared" si="16"/>
        <v>0</v>
      </c>
      <c r="E17" s="29">
        <f t="shared" si="16"/>
        <v>0</v>
      </c>
      <c r="F17" s="29">
        <f t="shared" si="16"/>
        <v>0</v>
      </c>
      <c r="G17" s="29">
        <f t="shared" si="16"/>
        <v>0</v>
      </c>
      <c r="H17" s="29">
        <f t="shared" si="16"/>
        <v>0</v>
      </c>
      <c r="I17" s="29">
        <f t="shared" si="16"/>
        <v>0</v>
      </c>
      <c r="J17" s="29">
        <f t="shared" si="16"/>
        <v>0</v>
      </c>
      <c r="K17" s="29">
        <f t="shared" si="16"/>
        <v>0</v>
      </c>
      <c r="L17" s="29">
        <f t="shared" si="16"/>
        <v>0</v>
      </c>
      <c r="M17" s="29">
        <f t="shared" si="16"/>
        <v>0</v>
      </c>
      <c r="N17" s="29">
        <f t="shared" si="16"/>
        <v>0</v>
      </c>
      <c r="O17" s="29">
        <f t="shared" si="16"/>
        <v>0</v>
      </c>
      <c r="P17" s="29">
        <f t="shared" si="16"/>
        <v>0</v>
      </c>
      <c r="Q17" s="29">
        <f t="shared" si="16"/>
        <v>0</v>
      </c>
      <c r="R17" s="29"/>
    </row>
    <row r="18" spans="1:18" ht="20.25" customHeight="1" thickBot="1" x14ac:dyDescent="0.3">
      <c r="A18" s="24">
        <v>16</v>
      </c>
      <c r="B18" s="25" t="s">
        <v>12</v>
      </c>
      <c r="C18" s="30">
        <f t="shared" ref="C18:J18" si="17">IF(C49&gt;0,C49*($B$62/100+1),0)</f>
        <v>140.4</v>
      </c>
      <c r="D18" s="30">
        <f t="shared" si="17"/>
        <v>149.04000000000002</v>
      </c>
      <c r="E18" s="30">
        <f t="shared" si="17"/>
        <v>157.68</v>
      </c>
      <c r="F18" s="30">
        <f t="shared" si="17"/>
        <v>166.32000000000002</v>
      </c>
      <c r="G18" s="30">
        <f t="shared" si="17"/>
        <v>174.96</v>
      </c>
      <c r="H18" s="30">
        <f t="shared" si="17"/>
        <v>183.60000000000002</v>
      </c>
      <c r="I18" s="30">
        <f t="shared" si="17"/>
        <v>193.32000000000002</v>
      </c>
      <c r="J18" s="30">
        <f t="shared" si="17"/>
        <v>201.96</v>
      </c>
      <c r="K18" s="30"/>
      <c r="L18" s="30">
        <f t="shared" ref="L18:Q18" si="18">IF(L49&gt;0,L49*($B$62/100+1),0)</f>
        <v>210.60000000000002</v>
      </c>
      <c r="M18" s="30">
        <f t="shared" si="18"/>
        <v>219.24</v>
      </c>
      <c r="N18" s="30">
        <f t="shared" si="18"/>
        <v>227.88000000000002</v>
      </c>
      <c r="O18" s="30">
        <f t="shared" si="18"/>
        <v>236.52</v>
      </c>
      <c r="P18" s="30">
        <f t="shared" si="18"/>
        <v>245.16000000000003</v>
      </c>
      <c r="Q18" s="30">
        <f t="shared" si="18"/>
        <v>253.8</v>
      </c>
      <c r="R18" s="30"/>
    </row>
    <row r="19" spans="1:18" ht="20.25" customHeight="1" thickBot="1" x14ac:dyDescent="0.3">
      <c r="A19" s="22">
        <v>17</v>
      </c>
      <c r="B19" s="23" t="s">
        <v>13</v>
      </c>
      <c r="C19" s="29">
        <f t="shared" ref="C19:Q19" si="19">IF(C50&gt;0,C50*($B$62/100+1),0)</f>
        <v>118.80000000000001</v>
      </c>
      <c r="D19" s="29">
        <f t="shared" si="19"/>
        <v>131.76000000000002</v>
      </c>
      <c r="E19" s="29">
        <f t="shared" si="19"/>
        <v>144.72</v>
      </c>
      <c r="F19" s="29">
        <f t="shared" si="19"/>
        <v>157.68</v>
      </c>
      <c r="G19" s="29">
        <f t="shared" si="19"/>
        <v>170.64000000000001</v>
      </c>
      <c r="H19" s="29">
        <f t="shared" si="19"/>
        <v>183.60000000000002</v>
      </c>
      <c r="I19" s="29">
        <f t="shared" si="19"/>
        <v>0</v>
      </c>
      <c r="J19" s="29">
        <f t="shared" si="19"/>
        <v>0</v>
      </c>
      <c r="K19" s="29">
        <f t="shared" si="19"/>
        <v>0</v>
      </c>
      <c r="L19" s="29">
        <f t="shared" si="19"/>
        <v>0</v>
      </c>
      <c r="M19" s="29">
        <f t="shared" si="19"/>
        <v>0</v>
      </c>
      <c r="N19" s="29">
        <f t="shared" si="19"/>
        <v>0</v>
      </c>
      <c r="O19" s="29">
        <f t="shared" si="19"/>
        <v>0</v>
      </c>
      <c r="P19" s="29">
        <f t="shared" si="19"/>
        <v>0</v>
      </c>
      <c r="Q19" s="29">
        <f t="shared" si="19"/>
        <v>0</v>
      </c>
      <c r="R19" s="29"/>
    </row>
    <row r="20" spans="1:18" ht="20.25" customHeight="1" thickBot="1" x14ac:dyDescent="0.3">
      <c r="A20" s="24">
        <v>18</v>
      </c>
      <c r="B20" s="25" t="s">
        <v>14</v>
      </c>
      <c r="C20" s="30">
        <f t="shared" ref="C20:Q20" si="20">IF(C51&gt;0,C51*($B$62/100+1),0)</f>
        <v>153.36000000000001</v>
      </c>
      <c r="D20" s="30">
        <f t="shared" si="20"/>
        <v>173.88000000000002</v>
      </c>
      <c r="E20" s="30">
        <f t="shared" si="20"/>
        <v>194.4</v>
      </c>
      <c r="F20" s="30">
        <f t="shared" si="20"/>
        <v>214.92000000000002</v>
      </c>
      <c r="G20" s="30">
        <f t="shared" si="20"/>
        <v>235.44000000000003</v>
      </c>
      <c r="H20" s="30">
        <f t="shared" si="20"/>
        <v>255.96</v>
      </c>
      <c r="I20" s="30">
        <f t="shared" si="20"/>
        <v>0</v>
      </c>
      <c r="J20" s="30">
        <f t="shared" si="20"/>
        <v>0</v>
      </c>
      <c r="K20" s="30">
        <f t="shared" si="20"/>
        <v>0</v>
      </c>
      <c r="L20" s="30">
        <f t="shared" si="20"/>
        <v>0</v>
      </c>
      <c r="M20" s="30">
        <f t="shared" si="20"/>
        <v>0</v>
      </c>
      <c r="N20" s="30">
        <f t="shared" si="20"/>
        <v>0</v>
      </c>
      <c r="O20" s="30">
        <f t="shared" si="20"/>
        <v>0</v>
      </c>
      <c r="P20" s="30">
        <f t="shared" si="20"/>
        <v>0</v>
      </c>
      <c r="Q20" s="30">
        <f t="shared" si="20"/>
        <v>0</v>
      </c>
      <c r="R20" s="30"/>
    </row>
    <row r="21" spans="1:18" ht="20.25" customHeight="1" thickBot="1" x14ac:dyDescent="0.3">
      <c r="A21" s="22">
        <v>19</v>
      </c>
      <c r="B21" s="23" t="s">
        <v>132</v>
      </c>
      <c r="C21" s="29">
        <f t="shared" ref="C21:Q21" si="21">IF(C52&gt;0,C52*($B$62/100+1),0)</f>
        <v>0</v>
      </c>
      <c r="D21" s="29">
        <f t="shared" si="21"/>
        <v>0</v>
      </c>
      <c r="E21" s="29">
        <f t="shared" si="21"/>
        <v>0</v>
      </c>
      <c r="F21" s="29">
        <f t="shared" si="21"/>
        <v>0</v>
      </c>
      <c r="G21" s="29">
        <f t="shared" si="21"/>
        <v>0</v>
      </c>
      <c r="H21" s="29">
        <f t="shared" si="21"/>
        <v>0</v>
      </c>
      <c r="I21" s="29">
        <f t="shared" si="21"/>
        <v>0</v>
      </c>
      <c r="J21" s="29">
        <f t="shared" si="21"/>
        <v>0</v>
      </c>
      <c r="K21" s="29">
        <f t="shared" si="21"/>
        <v>0</v>
      </c>
      <c r="L21" s="29">
        <f t="shared" si="21"/>
        <v>0</v>
      </c>
      <c r="M21" s="29">
        <f t="shared" si="21"/>
        <v>0</v>
      </c>
      <c r="N21" s="29">
        <f t="shared" si="21"/>
        <v>0</v>
      </c>
      <c r="O21" s="29">
        <f t="shared" si="21"/>
        <v>0</v>
      </c>
      <c r="P21" s="29">
        <f t="shared" si="21"/>
        <v>0</v>
      </c>
      <c r="Q21" s="29">
        <f t="shared" si="21"/>
        <v>0</v>
      </c>
      <c r="R21" s="29"/>
    </row>
    <row r="22" spans="1:18" ht="20.25" customHeight="1" thickBot="1" x14ac:dyDescent="0.3">
      <c r="A22" s="24">
        <v>20</v>
      </c>
      <c r="B22" s="25" t="s">
        <v>131</v>
      </c>
      <c r="C22" s="30">
        <f t="shared" ref="C22:Q22" si="22">IF(C53&gt;0,C53*($B$62/100+1),0)</f>
        <v>0</v>
      </c>
      <c r="D22" s="30">
        <f t="shared" si="22"/>
        <v>0</v>
      </c>
      <c r="E22" s="30">
        <f t="shared" si="22"/>
        <v>0</v>
      </c>
      <c r="F22" s="30">
        <f t="shared" si="22"/>
        <v>0</v>
      </c>
      <c r="G22" s="30">
        <f t="shared" si="22"/>
        <v>0</v>
      </c>
      <c r="H22" s="30">
        <f t="shared" si="22"/>
        <v>0</v>
      </c>
      <c r="I22" s="30">
        <f t="shared" si="22"/>
        <v>0</v>
      </c>
      <c r="J22" s="30">
        <f t="shared" si="22"/>
        <v>0</v>
      </c>
      <c r="K22" s="30">
        <f t="shared" si="22"/>
        <v>0</v>
      </c>
      <c r="L22" s="30">
        <f t="shared" si="22"/>
        <v>0</v>
      </c>
      <c r="M22" s="30">
        <f t="shared" si="22"/>
        <v>0</v>
      </c>
      <c r="N22" s="30">
        <f t="shared" si="22"/>
        <v>0</v>
      </c>
      <c r="O22" s="30">
        <f t="shared" si="22"/>
        <v>0</v>
      </c>
      <c r="P22" s="30">
        <f t="shared" si="22"/>
        <v>0</v>
      </c>
      <c r="Q22" s="30">
        <f t="shared" si="22"/>
        <v>0</v>
      </c>
      <c r="R22" s="30"/>
    </row>
    <row r="23" spans="1:18" ht="20.25" customHeight="1" thickBot="1" x14ac:dyDescent="0.3">
      <c r="A23" s="22">
        <v>21</v>
      </c>
      <c r="B23" s="23" t="s">
        <v>129</v>
      </c>
      <c r="C23" s="29">
        <f t="shared" ref="C23:J23" si="23">IF(C54&gt;0,C54*($B$62/100+1),0)</f>
        <v>316.44</v>
      </c>
      <c r="D23" s="29">
        <f t="shared" si="23"/>
        <v>328.32000000000005</v>
      </c>
      <c r="E23" s="29">
        <f t="shared" si="23"/>
        <v>340.20000000000005</v>
      </c>
      <c r="F23" s="29">
        <f t="shared" si="23"/>
        <v>352.08000000000004</v>
      </c>
      <c r="G23" s="29">
        <f t="shared" si="23"/>
        <v>363.96000000000004</v>
      </c>
      <c r="H23" s="29">
        <f t="shared" si="23"/>
        <v>375.84000000000003</v>
      </c>
      <c r="I23" s="29">
        <f t="shared" si="23"/>
        <v>387.72</v>
      </c>
      <c r="J23" s="29">
        <f t="shared" si="23"/>
        <v>399.6</v>
      </c>
      <c r="K23" s="29"/>
      <c r="L23" s="29">
        <f t="shared" ref="L23:Q29" si="24">IF(L54&gt;0,L54*($B$62/100+1),0)</f>
        <v>409.32000000000005</v>
      </c>
      <c r="M23" s="29">
        <f t="shared" si="24"/>
        <v>419.04</v>
      </c>
      <c r="N23" s="29">
        <f t="shared" si="24"/>
        <v>430.92</v>
      </c>
      <c r="O23" s="29">
        <f t="shared" si="24"/>
        <v>439.56</v>
      </c>
      <c r="P23" s="29">
        <f t="shared" si="24"/>
        <v>449.28000000000003</v>
      </c>
      <c r="Q23" s="29">
        <f t="shared" si="24"/>
        <v>460.08000000000004</v>
      </c>
      <c r="R23" s="29"/>
    </row>
    <row r="24" spans="1:18" ht="20.25" customHeight="1" thickBot="1" x14ac:dyDescent="0.3">
      <c r="A24" s="24">
        <v>22</v>
      </c>
      <c r="B24" s="25" t="s">
        <v>172</v>
      </c>
      <c r="C24" s="30">
        <f t="shared" ref="C24:C29" si="25">IF(C55&gt;0,C55*($B$62/100+1),0)</f>
        <v>316.44</v>
      </c>
      <c r="D24" s="30">
        <f t="shared" ref="D24:J24" si="26">IF(D55&gt;0,D55*($B$62/100+1),0)</f>
        <v>328.32000000000005</v>
      </c>
      <c r="E24" s="30">
        <f t="shared" si="26"/>
        <v>340.20000000000005</v>
      </c>
      <c r="F24" s="30">
        <f t="shared" si="26"/>
        <v>352.08000000000004</v>
      </c>
      <c r="G24" s="30">
        <f t="shared" si="26"/>
        <v>363.96000000000004</v>
      </c>
      <c r="H24" s="30">
        <f t="shared" si="26"/>
        <v>375.84000000000003</v>
      </c>
      <c r="I24" s="30">
        <f t="shared" si="26"/>
        <v>387.72</v>
      </c>
      <c r="J24" s="30">
        <f t="shared" si="26"/>
        <v>399.6</v>
      </c>
      <c r="K24" s="30"/>
      <c r="L24" s="30">
        <f t="shared" si="24"/>
        <v>409.32000000000005</v>
      </c>
      <c r="M24" s="30">
        <f t="shared" si="24"/>
        <v>419.04</v>
      </c>
      <c r="N24" s="30">
        <f t="shared" si="24"/>
        <v>430.92</v>
      </c>
      <c r="O24" s="30">
        <f t="shared" si="24"/>
        <v>439.56</v>
      </c>
      <c r="P24" s="30">
        <f t="shared" si="24"/>
        <v>449.28000000000003</v>
      </c>
      <c r="Q24" s="30">
        <f t="shared" si="24"/>
        <v>460.08000000000004</v>
      </c>
      <c r="R24" s="30"/>
    </row>
    <row r="25" spans="1:18" ht="20.25" customHeight="1" thickBot="1" x14ac:dyDescent="0.3">
      <c r="A25" s="22">
        <v>23</v>
      </c>
      <c r="B25" s="23" t="s">
        <v>128</v>
      </c>
      <c r="C25" s="29">
        <f t="shared" si="25"/>
        <v>348.08400000000006</v>
      </c>
      <c r="D25" s="29">
        <f t="shared" ref="D25:J25" si="27">IF(D56&gt;0,D56*($B$62/100+1),0)</f>
        <v>361.15200000000004</v>
      </c>
      <c r="E25" s="29">
        <f t="shared" si="27"/>
        <v>374.22</v>
      </c>
      <c r="F25" s="29">
        <f t="shared" si="27"/>
        <v>387.28800000000007</v>
      </c>
      <c r="G25" s="29">
        <f t="shared" si="27"/>
        <v>400.35600000000005</v>
      </c>
      <c r="H25" s="29">
        <f t="shared" si="27"/>
        <v>413.42400000000004</v>
      </c>
      <c r="I25" s="29">
        <f t="shared" si="27"/>
        <v>426.49200000000008</v>
      </c>
      <c r="J25" s="29">
        <f t="shared" si="27"/>
        <v>439.56000000000012</v>
      </c>
      <c r="K25" s="29"/>
      <c r="L25" s="29">
        <f t="shared" si="24"/>
        <v>450.25200000000007</v>
      </c>
      <c r="M25" s="29">
        <f t="shared" si="24"/>
        <v>460.94400000000002</v>
      </c>
      <c r="N25" s="29">
        <f t="shared" si="24"/>
        <v>474.01200000000006</v>
      </c>
      <c r="O25" s="29">
        <f t="shared" si="24"/>
        <v>483.51600000000008</v>
      </c>
      <c r="P25" s="29">
        <f t="shared" si="24"/>
        <v>494.20800000000008</v>
      </c>
      <c r="Q25" s="29">
        <f t="shared" si="24"/>
        <v>506.08800000000008</v>
      </c>
      <c r="R25" s="29"/>
    </row>
    <row r="26" spans="1:18" ht="20.25" customHeight="1" thickBot="1" x14ac:dyDescent="0.3">
      <c r="A26" s="24">
        <v>24</v>
      </c>
      <c r="B26" s="25" t="s">
        <v>130</v>
      </c>
      <c r="C26" s="30">
        <f t="shared" si="25"/>
        <v>218.16000000000003</v>
      </c>
      <c r="D26" s="30">
        <f t="shared" ref="D26:J26" si="28">IF(D57&gt;0,D57*($B$62/100+1),0)</f>
        <v>241.92000000000002</v>
      </c>
      <c r="E26" s="30">
        <f t="shared" si="28"/>
        <v>265.68</v>
      </c>
      <c r="F26" s="30">
        <f t="shared" si="28"/>
        <v>289.44</v>
      </c>
      <c r="G26" s="30">
        <f t="shared" si="28"/>
        <v>313.20000000000005</v>
      </c>
      <c r="H26" s="30">
        <f t="shared" si="28"/>
        <v>336.96000000000004</v>
      </c>
      <c r="I26" s="30">
        <f t="shared" si="28"/>
        <v>362.88</v>
      </c>
      <c r="J26" s="30">
        <f t="shared" si="28"/>
        <v>389.88000000000005</v>
      </c>
      <c r="K26" s="30"/>
      <c r="L26" s="30">
        <f t="shared" si="24"/>
        <v>410.40000000000003</v>
      </c>
      <c r="M26" s="30">
        <f t="shared" si="24"/>
        <v>424.44000000000005</v>
      </c>
      <c r="N26" s="30">
        <f t="shared" si="24"/>
        <v>438.48</v>
      </c>
      <c r="O26" s="30">
        <f t="shared" si="24"/>
        <v>452.52000000000004</v>
      </c>
      <c r="P26" s="30">
        <f t="shared" si="24"/>
        <v>470.88000000000005</v>
      </c>
      <c r="Q26" s="30">
        <f t="shared" si="24"/>
        <v>487.08000000000004</v>
      </c>
      <c r="R26" s="30"/>
    </row>
    <row r="27" spans="1:18" ht="20.25" customHeight="1" thickBot="1" x14ac:dyDescent="0.3">
      <c r="A27" s="22">
        <v>25</v>
      </c>
      <c r="B27" s="23" t="s">
        <v>136</v>
      </c>
      <c r="C27" s="29">
        <f t="shared" si="25"/>
        <v>100.44000000000001</v>
      </c>
      <c r="D27" s="29">
        <f t="shared" ref="D27:J27" si="29">IF(D58&gt;0,D58*($B$62/100+1),0)</f>
        <v>108</v>
      </c>
      <c r="E27" s="29">
        <f t="shared" si="29"/>
        <v>115.56</v>
      </c>
      <c r="F27" s="29">
        <f t="shared" si="29"/>
        <v>132.84</v>
      </c>
      <c r="G27" s="29">
        <f t="shared" si="29"/>
        <v>150.12</v>
      </c>
      <c r="H27" s="29">
        <f t="shared" si="29"/>
        <v>155.52000000000001</v>
      </c>
      <c r="I27" s="29">
        <f t="shared" si="29"/>
        <v>160.92000000000002</v>
      </c>
      <c r="J27" s="29">
        <f t="shared" si="29"/>
        <v>168.48000000000002</v>
      </c>
      <c r="K27" s="29"/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/>
    </row>
    <row r="28" spans="1:18" ht="20.25" customHeight="1" thickBot="1" x14ac:dyDescent="0.3">
      <c r="A28" s="24">
        <v>26</v>
      </c>
      <c r="B28" s="25" t="s">
        <v>137</v>
      </c>
      <c r="C28" s="30">
        <f t="shared" si="25"/>
        <v>129.60000000000002</v>
      </c>
      <c r="D28" s="30">
        <f t="shared" ref="D28:J28" si="30">IF(D59&gt;0,D59*($B$62/100+1),0)</f>
        <v>0</v>
      </c>
      <c r="E28" s="30">
        <f t="shared" si="30"/>
        <v>0</v>
      </c>
      <c r="F28" s="30">
        <f t="shared" si="30"/>
        <v>0</v>
      </c>
      <c r="G28" s="30">
        <f t="shared" si="30"/>
        <v>0</v>
      </c>
      <c r="H28" s="30">
        <f t="shared" si="30"/>
        <v>0</v>
      </c>
      <c r="I28" s="30">
        <f t="shared" si="30"/>
        <v>0</v>
      </c>
      <c r="J28" s="30">
        <f t="shared" si="30"/>
        <v>0</v>
      </c>
      <c r="K28" s="30"/>
      <c r="L28" s="30">
        <f t="shared" si="24"/>
        <v>0</v>
      </c>
      <c r="M28" s="30">
        <f t="shared" si="24"/>
        <v>0</v>
      </c>
      <c r="N28" s="30">
        <f t="shared" si="24"/>
        <v>0</v>
      </c>
      <c r="O28" s="30">
        <f t="shared" si="24"/>
        <v>0</v>
      </c>
      <c r="P28" s="30">
        <f t="shared" si="24"/>
        <v>0</v>
      </c>
      <c r="Q28" s="30">
        <f t="shared" si="24"/>
        <v>0</v>
      </c>
      <c r="R28" s="30"/>
    </row>
    <row r="29" spans="1:18" ht="20.25" customHeight="1" thickBot="1" x14ac:dyDescent="0.3">
      <c r="A29" s="22">
        <v>27</v>
      </c>
      <c r="B29" s="23" t="s">
        <v>125</v>
      </c>
      <c r="C29" s="29">
        <f t="shared" si="25"/>
        <v>378</v>
      </c>
      <c r="D29" s="29">
        <f t="shared" ref="D29:J29" si="31">IF(D60&gt;0,D60*($B$62/100+1),0)</f>
        <v>405</v>
      </c>
      <c r="E29" s="29">
        <f t="shared" si="31"/>
        <v>432</v>
      </c>
      <c r="F29" s="29">
        <f t="shared" si="31"/>
        <v>459.00000000000006</v>
      </c>
      <c r="G29" s="29">
        <f t="shared" si="31"/>
        <v>486.00000000000006</v>
      </c>
      <c r="H29" s="29">
        <f t="shared" si="31"/>
        <v>513</v>
      </c>
      <c r="I29" s="29">
        <f t="shared" si="31"/>
        <v>540</v>
      </c>
      <c r="J29" s="29">
        <f t="shared" si="31"/>
        <v>567</v>
      </c>
      <c r="K29" s="29"/>
      <c r="L29" s="29">
        <f t="shared" si="24"/>
        <v>594</v>
      </c>
      <c r="M29" s="29">
        <f t="shared" si="24"/>
        <v>621</v>
      </c>
      <c r="N29" s="29">
        <f t="shared" si="24"/>
        <v>648</v>
      </c>
      <c r="O29" s="29">
        <f t="shared" si="24"/>
        <v>675</v>
      </c>
      <c r="P29" s="29">
        <f t="shared" si="24"/>
        <v>702</v>
      </c>
      <c r="Q29" s="29">
        <f t="shared" si="24"/>
        <v>729</v>
      </c>
      <c r="R29" s="29"/>
    </row>
    <row r="30" spans="1:18" ht="20.25" customHeight="1" thickBot="1" x14ac:dyDescent="0.3">
      <c r="A30" s="24"/>
      <c r="B30" s="25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1:18" ht="14.25" customHeight="1" x14ac:dyDescent="0.25"/>
    <row r="32" spans="1:18" ht="21.75" customHeight="1" thickBot="1" x14ac:dyDescent="0.3">
      <c r="A32" s="211" t="s">
        <v>40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</row>
    <row r="33" spans="1:18" ht="21" customHeight="1" thickBot="1" x14ac:dyDescent="0.3">
      <c r="A33" s="21" t="s">
        <v>15</v>
      </c>
      <c r="B33" s="21" t="s">
        <v>0</v>
      </c>
      <c r="C33" s="146">
        <v>2</v>
      </c>
      <c r="D33" s="146">
        <v>4</v>
      </c>
      <c r="E33" s="146">
        <v>6</v>
      </c>
      <c r="F33" s="146">
        <v>8</v>
      </c>
      <c r="G33" s="146">
        <v>10</v>
      </c>
      <c r="H33" s="146">
        <v>12</v>
      </c>
      <c r="I33" s="146">
        <v>14</v>
      </c>
      <c r="J33" s="146" t="s">
        <v>149</v>
      </c>
      <c r="K33" s="146" t="s">
        <v>150</v>
      </c>
      <c r="L33" s="146" t="s">
        <v>151</v>
      </c>
      <c r="M33" s="146" t="s">
        <v>152</v>
      </c>
      <c r="N33" s="146" t="s">
        <v>153</v>
      </c>
      <c r="O33" s="146" t="s">
        <v>154</v>
      </c>
      <c r="P33" s="146" t="s">
        <v>155</v>
      </c>
      <c r="Q33" s="146" t="s">
        <v>156</v>
      </c>
    </row>
    <row r="34" spans="1:18" ht="15.95" customHeight="1" thickBot="1" x14ac:dyDescent="0.3">
      <c r="A34" s="22">
        <v>1</v>
      </c>
      <c r="B34" s="23" t="s">
        <v>1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315</v>
      </c>
      <c r="K34" s="29">
        <v>335</v>
      </c>
      <c r="L34" s="29">
        <v>345</v>
      </c>
      <c r="M34" s="29">
        <v>360</v>
      </c>
      <c r="N34" s="29">
        <v>375</v>
      </c>
      <c r="O34" s="29">
        <v>385</v>
      </c>
      <c r="P34" s="29">
        <v>403</v>
      </c>
      <c r="Q34" s="29">
        <v>414</v>
      </c>
      <c r="R34" s="29">
        <v>430</v>
      </c>
    </row>
    <row r="35" spans="1:18" ht="15.95" customHeight="1" thickBot="1" x14ac:dyDescent="0.3">
      <c r="A35" s="24">
        <v>2</v>
      </c>
      <c r="B35" s="25" t="s">
        <v>2</v>
      </c>
      <c r="C35" s="30">
        <v>97</v>
      </c>
      <c r="D35" s="30">
        <v>104</v>
      </c>
      <c r="E35" s="30">
        <v>111</v>
      </c>
      <c r="F35" s="30">
        <v>118</v>
      </c>
      <c r="G35" s="30">
        <v>125</v>
      </c>
      <c r="H35" s="30">
        <v>132</v>
      </c>
      <c r="I35" s="30">
        <v>139</v>
      </c>
      <c r="J35" s="30">
        <v>146</v>
      </c>
      <c r="K35" s="30"/>
      <c r="L35" s="30">
        <v>153</v>
      </c>
      <c r="M35" s="30">
        <v>160</v>
      </c>
      <c r="N35" s="30">
        <v>167</v>
      </c>
      <c r="O35" s="30">
        <v>174</v>
      </c>
      <c r="P35" s="30">
        <v>183</v>
      </c>
      <c r="Q35" s="30">
        <v>191</v>
      </c>
      <c r="R35" s="30"/>
    </row>
    <row r="36" spans="1:18" ht="15.95" customHeight="1" thickBot="1" x14ac:dyDescent="0.3">
      <c r="A36" s="22">
        <v>3</v>
      </c>
      <c r="B36" s="23" t="s">
        <v>138</v>
      </c>
      <c r="C36" s="29">
        <f>C35+10</f>
        <v>107</v>
      </c>
      <c r="D36" s="29">
        <f t="shared" ref="D36:J36" si="32">D35+10</f>
        <v>114</v>
      </c>
      <c r="E36" s="29">
        <f t="shared" si="32"/>
        <v>121</v>
      </c>
      <c r="F36" s="29">
        <f t="shared" si="32"/>
        <v>128</v>
      </c>
      <c r="G36" s="29">
        <f t="shared" si="32"/>
        <v>135</v>
      </c>
      <c r="H36" s="29">
        <f t="shared" si="32"/>
        <v>142</v>
      </c>
      <c r="I36" s="29">
        <f t="shared" si="32"/>
        <v>149</v>
      </c>
      <c r="J36" s="29">
        <f t="shared" si="32"/>
        <v>156</v>
      </c>
      <c r="K36" s="29"/>
      <c r="L36" s="29">
        <f t="shared" ref="L36:Q36" si="33">L35+10</f>
        <v>163</v>
      </c>
      <c r="M36" s="29">
        <f t="shared" si="33"/>
        <v>170</v>
      </c>
      <c r="N36" s="29">
        <f t="shared" si="33"/>
        <v>177</v>
      </c>
      <c r="O36" s="29">
        <f t="shared" si="33"/>
        <v>184</v>
      </c>
      <c r="P36" s="29">
        <f t="shared" si="33"/>
        <v>193</v>
      </c>
      <c r="Q36" s="29">
        <f t="shared" si="33"/>
        <v>201</v>
      </c>
      <c r="R36" s="29"/>
    </row>
    <row r="37" spans="1:18" ht="15.95" customHeight="1" thickBot="1" x14ac:dyDescent="0.3">
      <c r="A37" s="24">
        <v>4</v>
      </c>
      <c r="B37" s="25" t="s">
        <v>3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37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/>
    </row>
    <row r="38" spans="1:18" ht="15.95" customHeight="1" thickBot="1" x14ac:dyDescent="0.3">
      <c r="A38" s="22">
        <v>5</v>
      </c>
      <c r="B38" s="23" t="s">
        <v>5</v>
      </c>
      <c r="C38" s="29">
        <v>135</v>
      </c>
      <c r="D38" s="29">
        <v>156</v>
      </c>
      <c r="E38" s="29">
        <v>177</v>
      </c>
      <c r="F38" s="29">
        <v>199</v>
      </c>
      <c r="G38" s="29">
        <v>220</v>
      </c>
      <c r="H38" s="29">
        <v>238</v>
      </c>
      <c r="I38" s="29">
        <v>256</v>
      </c>
      <c r="J38" s="29">
        <v>274</v>
      </c>
      <c r="K38" s="29"/>
      <c r="L38" s="29">
        <v>290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/>
    </row>
    <row r="39" spans="1:18" ht="15.95" customHeight="1" thickBot="1" x14ac:dyDescent="0.3">
      <c r="A39" s="24">
        <v>6</v>
      </c>
      <c r="B39" s="25" t="s">
        <v>6</v>
      </c>
      <c r="C39" s="30">
        <f>102-10</f>
        <v>92</v>
      </c>
      <c r="D39" s="30">
        <f>112-12</f>
        <v>100</v>
      </c>
      <c r="E39" s="30">
        <v>111</v>
      </c>
      <c r="F39" s="30">
        <v>124</v>
      </c>
      <c r="G39" s="30">
        <f>158-16</f>
        <v>142</v>
      </c>
      <c r="H39" s="30">
        <f>175-16</f>
        <v>159</v>
      </c>
      <c r="I39" s="30">
        <v>165</v>
      </c>
      <c r="J39" s="30">
        <f>194-16</f>
        <v>178</v>
      </c>
      <c r="K39" s="30"/>
      <c r="L39" s="30">
        <v>196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/>
    </row>
    <row r="40" spans="1:18" ht="15.95" customHeight="1" thickBot="1" x14ac:dyDescent="0.3">
      <c r="A40" s="22">
        <v>7</v>
      </c>
      <c r="B40" s="23" t="s">
        <v>7</v>
      </c>
      <c r="C40" s="29">
        <v>93</v>
      </c>
      <c r="D40" s="29">
        <v>100</v>
      </c>
      <c r="E40" s="29">
        <v>107</v>
      </c>
      <c r="F40" s="29">
        <v>123</v>
      </c>
      <c r="G40" s="29">
        <v>139</v>
      </c>
      <c r="H40" s="29">
        <v>144</v>
      </c>
      <c r="I40" s="29">
        <v>149</v>
      </c>
      <c r="J40" s="29">
        <f>I40+7</f>
        <v>156</v>
      </c>
      <c r="K40" s="29"/>
      <c r="L40" s="29">
        <v>163</v>
      </c>
      <c r="M40" s="29">
        <v>170</v>
      </c>
      <c r="N40" s="29">
        <v>177</v>
      </c>
      <c r="O40" s="29">
        <v>186</v>
      </c>
      <c r="P40" s="29">
        <v>195</v>
      </c>
      <c r="Q40" s="29">
        <v>214</v>
      </c>
      <c r="R40" s="29"/>
    </row>
    <row r="41" spans="1:18" ht="15.95" customHeight="1" thickBot="1" x14ac:dyDescent="0.3">
      <c r="A41" s="24">
        <v>8</v>
      </c>
      <c r="B41" s="25" t="s">
        <v>133</v>
      </c>
      <c r="C41" s="30">
        <f>C40+15</f>
        <v>108</v>
      </c>
      <c r="D41" s="30">
        <f t="shared" ref="D41:F41" si="34">D40+15</f>
        <v>115</v>
      </c>
      <c r="E41" s="30">
        <f t="shared" si="34"/>
        <v>122</v>
      </c>
      <c r="F41" s="30">
        <f t="shared" si="34"/>
        <v>138</v>
      </c>
      <c r="G41" s="30">
        <f>G40+25</f>
        <v>164</v>
      </c>
      <c r="H41" s="30">
        <f t="shared" ref="H41:J41" si="35">H40+25</f>
        <v>169</v>
      </c>
      <c r="I41" s="30">
        <f t="shared" si="35"/>
        <v>174</v>
      </c>
      <c r="J41" s="30">
        <f t="shared" si="35"/>
        <v>181</v>
      </c>
      <c r="K41" s="30"/>
      <c r="L41" s="30">
        <f t="shared" ref="L41:Q41" si="36">L40+30</f>
        <v>193</v>
      </c>
      <c r="M41" s="30">
        <f t="shared" si="36"/>
        <v>200</v>
      </c>
      <c r="N41" s="30">
        <f t="shared" si="36"/>
        <v>207</v>
      </c>
      <c r="O41" s="30">
        <f t="shared" si="36"/>
        <v>216</v>
      </c>
      <c r="P41" s="30">
        <f t="shared" si="36"/>
        <v>225</v>
      </c>
      <c r="Q41" s="30">
        <f t="shared" si="36"/>
        <v>244</v>
      </c>
      <c r="R41" s="30"/>
    </row>
    <row r="42" spans="1:18" ht="15.95" customHeight="1" thickBot="1" x14ac:dyDescent="0.3">
      <c r="A42" s="22">
        <v>9</v>
      </c>
      <c r="B42" s="23" t="s">
        <v>8</v>
      </c>
      <c r="C42" s="29">
        <v>61</v>
      </c>
      <c r="D42" s="29">
        <v>65</v>
      </c>
      <c r="E42" s="29">
        <v>69</v>
      </c>
      <c r="F42" s="29">
        <v>72</v>
      </c>
      <c r="G42" s="29">
        <v>75</v>
      </c>
      <c r="H42" s="29">
        <v>80</v>
      </c>
      <c r="I42" s="29">
        <v>90</v>
      </c>
      <c r="J42" s="29">
        <v>98</v>
      </c>
      <c r="K42" s="29"/>
      <c r="L42" s="29">
        <v>105</v>
      </c>
      <c r="M42" s="29">
        <v>111</v>
      </c>
      <c r="N42" s="29">
        <v>117</v>
      </c>
      <c r="O42" s="29">
        <v>122</v>
      </c>
      <c r="P42" s="29">
        <v>131</v>
      </c>
      <c r="Q42" s="29">
        <v>139</v>
      </c>
      <c r="R42" s="29"/>
    </row>
    <row r="43" spans="1:18" ht="15.95" customHeight="1" thickBot="1" x14ac:dyDescent="0.3">
      <c r="A43" s="24">
        <v>10</v>
      </c>
      <c r="B43" s="25" t="s">
        <v>134</v>
      </c>
      <c r="C43" s="30">
        <v>78</v>
      </c>
      <c r="D43" s="30">
        <v>86</v>
      </c>
      <c r="E43" s="30">
        <v>94</v>
      </c>
      <c r="F43" s="30">
        <v>102</v>
      </c>
      <c r="G43" s="30">
        <v>110</v>
      </c>
      <c r="H43" s="30">
        <v>118</v>
      </c>
      <c r="I43" s="30">
        <f>H43+8</f>
        <v>126</v>
      </c>
      <c r="J43" s="30">
        <f t="shared" ref="J43" si="37">I43+8</f>
        <v>134</v>
      </c>
      <c r="K43" s="30"/>
      <c r="L43" s="30">
        <v>142</v>
      </c>
      <c r="M43" s="30">
        <v>150</v>
      </c>
      <c r="N43" s="30">
        <v>160</v>
      </c>
      <c r="O43" s="30">
        <v>170</v>
      </c>
      <c r="P43" s="30">
        <v>179</v>
      </c>
      <c r="Q43" s="30">
        <v>190</v>
      </c>
      <c r="R43" s="30"/>
    </row>
    <row r="44" spans="1:18" ht="15.95" customHeight="1" thickBot="1" x14ac:dyDescent="0.3">
      <c r="A44" s="22">
        <v>11</v>
      </c>
      <c r="B44" s="23" t="s">
        <v>135</v>
      </c>
      <c r="C44" s="29">
        <v>109</v>
      </c>
      <c r="D44" s="29">
        <v>122</v>
      </c>
      <c r="E44" s="29">
        <v>135</v>
      </c>
      <c r="F44" s="29">
        <v>145</v>
      </c>
      <c r="G44" s="29">
        <v>155</v>
      </c>
      <c r="H44" s="29">
        <v>228</v>
      </c>
      <c r="I44" s="29">
        <v>250</v>
      </c>
      <c r="J44" s="29">
        <v>262</v>
      </c>
      <c r="K44" s="29"/>
      <c r="L44" s="29">
        <v>276</v>
      </c>
      <c r="M44" s="29">
        <v>280</v>
      </c>
      <c r="N44" s="29">
        <v>283</v>
      </c>
      <c r="O44" s="29">
        <v>290</v>
      </c>
      <c r="P44" s="29">
        <v>305</v>
      </c>
      <c r="Q44" s="29">
        <v>318</v>
      </c>
      <c r="R44" s="29"/>
    </row>
    <row r="45" spans="1:18" ht="15.95" customHeight="1" thickBot="1" x14ac:dyDescent="0.3">
      <c r="A45" s="24">
        <v>12</v>
      </c>
      <c r="B45" s="25" t="s">
        <v>9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231</v>
      </c>
      <c r="K45" s="30">
        <v>248</v>
      </c>
      <c r="L45" s="30">
        <v>265</v>
      </c>
      <c r="M45" s="30">
        <v>280</v>
      </c>
      <c r="N45" s="30">
        <v>292</v>
      </c>
      <c r="O45" s="30">
        <v>298</v>
      </c>
      <c r="P45" s="30">
        <v>305</v>
      </c>
      <c r="Q45" s="30">
        <v>315</v>
      </c>
      <c r="R45" s="30"/>
    </row>
    <row r="46" spans="1:18" ht="15.95" customHeight="1" thickBot="1" x14ac:dyDescent="0.3">
      <c r="A46" s="22">
        <v>13</v>
      </c>
      <c r="B46" s="23" t="s">
        <v>10</v>
      </c>
      <c r="C46" s="29">
        <v>65</v>
      </c>
      <c r="D46" s="29">
        <v>71</v>
      </c>
      <c r="E46" s="29">
        <v>76</v>
      </c>
      <c r="F46" s="29">
        <v>90</v>
      </c>
      <c r="G46" s="29">
        <v>100</v>
      </c>
      <c r="H46" s="29">
        <v>107</v>
      </c>
      <c r="I46" s="29">
        <v>109</v>
      </c>
      <c r="J46" s="29">
        <v>114</v>
      </c>
      <c r="K46" s="29">
        <v>120</v>
      </c>
      <c r="L46" s="29">
        <v>122</v>
      </c>
      <c r="M46" s="29">
        <v>125</v>
      </c>
      <c r="N46" s="29">
        <v>127</v>
      </c>
      <c r="O46" s="29">
        <v>135</v>
      </c>
      <c r="P46" s="29">
        <v>140</v>
      </c>
      <c r="Q46" s="29">
        <v>145</v>
      </c>
      <c r="R46" s="29"/>
    </row>
    <row r="47" spans="1:18" ht="15.95" customHeight="1" thickBot="1" x14ac:dyDescent="0.3">
      <c r="A47" s="24">
        <v>14</v>
      </c>
      <c r="B47" s="25" t="s">
        <v>171</v>
      </c>
      <c r="C47" s="30">
        <f>C46+4</f>
        <v>69</v>
      </c>
      <c r="D47" s="30">
        <f t="shared" ref="D47:F47" si="38">D46+4</f>
        <v>75</v>
      </c>
      <c r="E47" s="30">
        <f t="shared" si="38"/>
        <v>80</v>
      </c>
      <c r="F47" s="30">
        <f t="shared" si="38"/>
        <v>94</v>
      </c>
      <c r="G47" s="30">
        <f>G46+5</f>
        <v>105</v>
      </c>
      <c r="H47" s="30">
        <f t="shared" ref="H47:K47" si="39">H46+5</f>
        <v>112</v>
      </c>
      <c r="I47" s="30">
        <f t="shared" si="39"/>
        <v>114</v>
      </c>
      <c r="J47" s="30">
        <f t="shared" si="39"/>
        <v>119</v>
      </c>
      <c r="K47" s="30">
        <f t="shared" si="39"/>
        <v>125</v>
      </c>
      <c r="L47" s="30">
        <f>L46+7</f>
        <v>129</v>
      </c>
      <c r="M47" s="30">
        <f t="shared" ref="M47:Q47" si="40">M46+7</f>
        <v>132</v>
      </c>
      <c r="N47" s="30">
        <f t="shared" si="40"/>
        <v>134</v>
      </c>
      <c r="O47" s="30">
        <f t="shared" si="40"/>
        <v>142</v>
      </c>
      <c r="P47" s="30">
        <f t="shared" si="40"/>
        <v>147</v>
      </c>
      <c r="Q47" s="30">
        <f t="shared" si="40"/>
        <v>152</v>
      </c>
      <c r="R47" s="30"/>
    </row>
    <row r="48" spans="1:18" ht="15.95" customHeight="1" thickBot="1" x14ac:dyDescent="0.3">
      <c r="A48" s="22">
        <v>15</v>
      </c>
      <c r="B48" s="23" t="s">
        <v>11</v>
      </c>
      <c r="C48" s="29">
        <v>20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/>
    </row>
    <row r="49" spans="1:18" ht="15.95" customHeight="1" thickBot="1" x14ac:dyDescent="0.3">
      <c r="A49" s="24">
        <v>16</v>
      </c>
      <c r="B49" s="25" t="s">
        <v>12</v>
      </c>
      <c r="C49" s="30">
        <v>130</v>
      </c>
      <c r="D49" s="30">
        <v>138</v>
      </c>
      <c r="E49" s="30">
        <v>146</v>
      </c>
      <c r="F49" s="30">
        <v>154</v>
      </c>
      <c r="G49" s="30">
        <v>162</v>
      </c>
      <c r="H49" s="30">
        <v>170</v>
      </c>
      <c r="I49" s="30">
        <v>179</v>
      </c>
      <c r="J49" s="30">
        <v>187</v>
      </c>
      <c r="K49" s="30"/>
      <c r="L49" s="30">
        <v>195</v>
      </c>
      <c r="M49" s="30">
        <v>203</v>
      </c>
      <c r="N49" s="30">
        <v>211</v>
      </c>
      <c r="O49" s="30">
        <v>219</v>
      </c>
      <c r="P49" s="30">
        <v>227</v>
      </c>
      <c r="Q49" s="30">
        <v>235</v>
      </c>
      <c r="R49" s="30"/>
    </row>
    <row r="50" spans="1:18" ht="15.95" customHeight="1" thickBot="1" x14ac:dyDescent="0.3">
      <c r="A50" s="22">
        <v>17</v>
      </c>
      <c r="B50" s="23" t="s">
        <v>13</v>
      </c>
      <c r="C50" s="29">
        <v>110</v>
      </c>
      <c r="D50" s="29">
        <v>122</v>
      </c>
      <c r="E50" s="29">
        <v>134</v>
      </c>
      <c r="F50" s="29">
        <v>146</v>
      </c>
      <c r="G50" s="29">
        <v>158</v>
      </c>
      <c r="H50" s="29">
        <v>170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/>
    </row>
    <row r="51" spans="1:18" ht="15.95" customHeight="1" thickBot="1" x14ac:dyDescent="0.3">
      <c r="A51" s="24">
        <v>18</v>
      </c>
      <c r="B51" s="25" t="s">
        <v>14</v>
      </c>
      <c r="C51" s="30">
        <v>142</v>
      </c>
      <c r="D51" s="30">
        <v>161</v>
      </c>
      <c r="E51" s="30">
        <v>180</v>
      </c>
      <c r="F51" s="30">
        <v>199</v>
      </c>
      <c r="G51" s="30">
        <v>218</v>
      </c>
      <c r="H51" s="30">
        <v>237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/>
    </row>
    <row r="52" spans="1:18" ht="15.95" customHeight="1" thickBot="1" x14ac:dyDescent="0.3">
      <c r="A52" s="22">
        <v>19</v>
      </c>
      <c r="B52" s="23" t="s">
        <v>132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spans="1:18" ht="15.95" customHeight="1" thickBot="1" x14ac:dyDescent="0.3">
      <c r="A53" s="24">
        <v>20</v>
      </c>
      <c r="B53" s="25" t="s">
        <v>131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 ht="15.95" customHeight="1" thickBot="1" x14ac:dyDescent="0.3">
      <c r="A54" s="22">
        <v>21</v>
      </c>
      <c r="B54" s="23" t="s">
        <v>129</v>
      </c>
      <c r="C54" s="29">
        <v>293</v>
      </c>
      <c r="D54" s="29">
        <v>304</v>
      </c>
      <c r="E54" s="29">
        <v>315</v>
      </c>
      <c r="F54" s="29">
        <v>326</v>
      </c>
      <c r="G54" s="29">
        <v>337</v>
      </c>
      <c r="H54" s="29">
        <v>348</v>
      </c>
      <c r="I54" s="29">
        <v>359</v>
      </c>
      <c r="J54" s="29">
        <v>370</v>
      </c>
      <c r="K54" s="29"/>
      <c r="L54" s="29">
        <v>379</v>
      </c>
      <c r="M54" s="29">
        <v>388</v>
      </c>
      <c r="N54" s="29">
        <v>399</v>
      </c>
      <c r="O54" s="29">
        <v>407</v>
      </c>
      <c r="P54" s="29">
        <v>416</v>
      </c>
      <c r="Q54" s="29">
        <v>426</v>
      </c>
      <c r="R54" s="29"/>
    </row>
    <row r="55" spans="1:18" ht="15.95" customHeight="1" thickBot="1" x14ac:dyDescent="0.3">
      <c r="A55" s="24">
        <v>22</v>
      </c>
      <c r="B55" s="25" t="s">
        <v>172</v>
      </c>
      <c r="C55" s="30">
        <v>293</v>
      </c>
      <c r="D55" s="30">
        <v>304</v>
      </c>
      <c r="E55" s="30">
        <v>315</v>
      </c>
      <c r="F55" s="30">
        <v>326</v>
      </c>
      <c r="G55" s="30">
        <v>337</v>
      </c>
      <c r="H55" s="30">
        <v>348</v>
      </c>
      <c r="I55" s="30">
        <v>359</v>
      </c>
      <c r="J55" s="30">
        <v>370</v>
      </c>
      <c r="K55" s="30"/>
      <c r="L55" s="30">
        <v>379</v>
      </c>
      <c r="M55" s="30">
        <v>388</v>
      </c>
      <c r="N55" s="30">
        <v>399</v>
      </c>
      <c r="O55" s="30">
        <v>407</v>
      </c>
      <c r="P55" s="30">
        <v>416</v>
      </c>
      <c r="Q55" s="30">
        <v>426</v>
      </c>
      <c r="R55" s="30"/>
    </row>
    <row r="56" spans="1:18" ht="15.95" customHeight="1" thickBot="1" x14ac:dyDescent="0.3">
      <c r="A56" s="22">
        <v>23</v>
      </c>
      <c r="B56" s="23" t="s">
        <v>128</v>
      </c>
      <c r="C56" s="29">
        <f>C54*1.1</f>
        <v>322.3</v>
      </c>
      <c r="D56" s="29">
        <f t="shared" ref="D56:J56" si="41">D54*1.1</f>
        <v>334.40000000000003</v>
      </c>
      <c r="E56" s="29">
        <f t="shared" si="41"/>
        <v>346.5</v>
      </c>
      <c r="F56" s="29">
        <f t="shared" si="41"/>
        <v>358.6</v>
      </c>
      <c r="G56" s="29">
        <f t="shared" si="41"/>
        <v>370.70000000000005</v>
      </c>
      <c r="H56" s="29">
        <f t="shared" si="41"/>
        <v>382.8</v>
      </c>
      <c r="I56" s="29">
        <f t="shared" si="41"/>
        <v>394.90000000000003</v>
      </c>
      <c r="J56" s="29">
        <f t="shared" si="41"/>
        <v>407.00000000000006</v>
      </c>
      <c r="K56" s="29"/>
      <c r="L56" s="29">
        <f t="shared" ref="L56:Q56" si="42">L54*1.1</f>
        <v>416.90000000000003</v>
      </c>
      <c r="M56" s="29">
        <f t="shared" si="42"/>
        <v>426.8</v>
      </c>
      <c r="N56" s="29">
        <f t="shared" si="42"/>
        <v>438.90000000000003</v>
      </c>
      <c r="O56" s="29">
        <f t="shared" si="42"/>
        <v>447.70000000000005</v>
      </c>
      <c r="P56" s="29">
        <f t="shared" si="42"/>
        <v>457.6</v>
      </c>
      <c r="Q56" s="29">
        <f t="shared" si="42"/>
        <v>468.6</v>
      </c>
      <c r="R56" s="29"/>
    </row>
    <row r="57" spans="1:18" ht="15.95" customHeight="1" thickBot="1" x14ac:dyDescent="0.3">
      <c r="A57" s="24">
        <v>24</v>
      </c>
      <c r="B57" s="25" t="s">
        <v>130</v>
      </c>
      <c r="C57" s="30">
        <v>202</v>
      </c>
      <c r="D57" s="30">
        <v>224</v>
      </c>
      <c r="E57" s="30">
        <v>246</v>
      </c>
      <c r="F57" s="30">
        <v>268</v>
      </c>
      <c r="G57" s="30">
        <v>290</v>
      </c>
      <c r="H57" s="30">
        <v>312</v>
      </c>
      <c r="I57" s="30">
        <v>336</v>
      </c>
      <c r="J57" s="30">
        <v>361</v>
      </c>
      <c r="K57" s="30"/>
      <c r="L57" s="30">
        <v>380</v>
      </c>
      <c r="M57" s="30">
        <v>393</v>
      </c>
      <c r="N57" s="30">
        <v>406</v>
      </c>
      <c r="O57" s="30">
        <v>419</v>
      </c>
      <c r="P57" s="30">
        <v>436</v>
      </c>
      <c r="Q57" s="30">
        <v>451</v>
      </c>
      <c r="R57" s="30"/>
    </row>
    <row r="58" spans="1:18" ht="15.95" customHeight="1" thickBot="1" x14ac:dyDescent="0.3">
      <c r="A58" s="22">
        <v>25</v>
      </c>
      <c r="B58" s="23" t="s">
        <v>136</v>
      </c>
      <c r="C58" s="29">
        <v>93</v>
      </c>
      <c r="D58" s="29">
        <v>100</v>
      </c>
      <c r="E58" s="29">
        <v>107</v>
      </c>
      <c r="F58" s="29">
        <v>123</v>
      </c>
      <c r="G58" s="29">
        <v>139</v>
      </c>
      <c r="H58" s="29">
        <v>144</v>
      </c>
      <c r="I58" s="29">
        <v>149</v>
      </c>
      <c r="J58" s="29">
        <v>156</v>
      </c>
      <c r="K58" s="29"/>
      <c r="L58" s="29"/>
      <c r="M58" s="29"/>
      <c r="N58" s="29"/>
      <c r="O58" s="29"/>
      <c r="P58" s="29"/>
      <c r="Q58" s="29"/>
      <c r="R58" s="29"/>
    </row>
    <row r="59" spans="1:18" ht="15.95" customHeight="1" thickBot="1" x14ac:dyDescent="0.3">
      <c r="A59" s="24">
        <v>26</v>
      </c>
      <c r="B59" s="25" t="s">
        <v>137</v>
      </c>
      <c r="C59" s="30">
        <v>120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 ht="15.95" customHeight="1" thickBot="1" x14ac:dyDescent="0.3">
      <c r="A60" s="22">
        <v>27</v>
      </c>
      <c r="B60" s="23" t="s">
        <v>125</v>
      </c>
      <c r="C60" s="29">
        <v>350</v>
      </c>
      <c r="D60" s="29">
        <f>C60+25</f>
        <v>375</v>
      </c>
      <c r="E60" s="29">
        <f t="shared" ref="E60:J60" si="43">D60+25</f>
        <v>400</v>
      </c>
      <c r="F60" s="29">
        <f t="shared" si="43"/>
        <v>425</v>
      </c>
      <c r="G60" s="29">
        <f t="shared" si="43"/>
        <v>450</v>
      </c>
      <c r="H60" s="29">
        <f t="shared" si="43"/>
        <v>475</v>
      </c>
      <c r="I60" s="29">
        <f t="shared" si="43"/>
        <v>500</v>
      </c>
      <c r="J60" s="29">
        <f t="shared" si="43"/>
        <v>525</v>
      </c>
      <c r="K60" s="29"/>
      <c r="L60" s="29">
        <f>J60+25</f>
        <v>550</v>
      </c>
      <c r="M60" s="29">
        <f>L60+25</f>
        <v>575</v>
      </c>
      <c r="N60" s="29">
        <f>M60+25</f>
        <v>600</v>
      </c>
      <c r="O60" s="29">
        <f>N60+25</f>
        <v>625</v>
      </c>
      <c r="P60" s="29">
        <f>O60+25</f>
        <v>650</v>
      </c>
      <c r="Q60" s="29">
        <f>P60+25</f>
        <v>675</v>
      </c>
      <c r="R60" s="29"/>
    </row>
    <row r="61" spans="1:18" ht="15.95" customHeight="1" thickBot="1" x14ac:dyDescent="0.3">
      <c r="A61" s="24"/>
      <c r="B61" s="25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 ht="18.75" customHeight="1" x14ac:dyDescent="0.25">
      <c r="A62" s="11" t="s">
        <v>41</v>
      </c>
      <c r="B62" s="12">
        <v>8</v>
      </c>
      <c r="C62" s="2" t="s">
        <v>166</v>
      </c>
      <c r="E62" s="13"/>
    </row>
    <row r="64" spans="1:18" ht="14.25" thickBot="1" x14ac:dyDescent="0.3">
      <c r="B64" s="1" t="s">
        <v>148</v>
      </c>
      <c r="C64" s="145">
        <f t="shared" ref="C64:O64" si="44">D64*0.95</f>
        <v>126.79549457003768</v>
      </c>
      <c r="D64" s="145">
        <f t="shared" si="44"/>
        <v>133.46894165267125</v>
      </c>
      <c r="E64" s="145">
        <f t="shared" si="44"/>
        <v>140.49362279228552</v>
      </c>
      <c r="F64" s="145">
        <f t="shared" si="44"/>
        <v>147.88802399187949</v>
      </c>
      <c r="G64" s="145">
        <f t="shared" si="44"/>
        <v>155.67160420197843</v>
      </c>
      <c r="H64" s="145">
        <f t="shared" si="44"/>
        <v>163.86484652839835</v>
      </c>
      <c r="I64" s="145">
        <f t="shared" si="44"/>
        <v>172.48931213515615</v>
      </c>
      <c r="J64" s="145">
        <f t="shared" si="44"/>
        <v>181.56769698437492</v>
      </c>
      <c r="K64" s="145">
        <f t="shared" si="44"/>
        <v>191.12389156249992</v>
      </c>
      <c r="L64" s="145">
        <f t="shared" si="44"/>
        <v>201.18304374999994</v>
      </c>
      <c r="M64" s="145">
        <f t="shared" si="44"/>
        <v>211.77162499999994</v>
      </c>
      <c r="N64" s="145">
        <f t="shared" si="44"/>
        <v>222.91749999999996</v>
      </c>
      <c r="O64" s="145">
        <f t="shared" si="44"/>
        <v>234.64999999999998</v>
      </c>
      <c r="P64" s="145">
        <f>Q64*0.95</f>
        <v>247</v>
      </c>
      <c r="Q64" s="145">
        <v>260</v>
      </c>
    </row>
    <row r="65" spans="3:17" ht="14.25" thickBot="1" x14ac:dyDescent="0.3">
      <c r="C65" s="29">
        <v>360</v>
      </c>
      <c r="D65" s="29">
        <v>380</v>
      </c>
      <c r="E65" s="29">
        <v>400</v>
      </c>
      <c r="F65" s="29">
        <v>420</v>
      </c>
      <c r="G65" s="29">
        <v>440</v>
      </c>
      <c r="H65" s="29">
        <v>465</v>
      </c>
      <c r="I65" s="29">
        <v>490</v>
      </c>
      <c r="J65" s="29">
        <v>515</v>
      </c>
      <c r="K65" s="29">
        <v>540</v>
      </c>
      <c r="L65" s="29">
        <v>565</v>
      </c>
      <c r="M65" s="29">
        <v>590</v>
      </c>
      <c r="N65" s="29">
        <v>615</v>
      </c>
      <c r="O65" s="29">
        <v>640</v>
      </c>
      <c r="P65" s="29">
        <v>665</v>
      </c>
      <c r="Q65" s="29">
        <v>690</v>
      </c>
    </row>
  </sheetData>
  <mergeCells count="2">
    <mergeCell ref="A32:Q32"/>
    <mergeCell ref="A1:Q1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pageSetUpPr fitToPage="1"/>
  </sheetPr>
  <dimension ref="A1:AP113"/>
  <sheetViews>
    <sheetView topLeftCell="A4" zoomScale="85" zoomScaleNormal="85" workbookViewId="0">
      <pane xSplit="1" topLeftCell="Z1" activePane="topRight" state="frozen"/>
      <selection activeCell="N11" sqref="N11"/>
      <selection pane="topRight" activeCell="AP24" sqref="AP24"/>
    </sheetView>
  </sheetViews>
  <sheetFormatPr baseColWidth="10" defaultRowHeight="12.75" x14ac:dyDescent="0.2"/>
  <cols>
    <col min="1" max="1" width="26.140625" style="4" customWidth="1"/>
    <col min="2" max="2" width="10.140625" style="4" customWidth="1"/>
    <col min="3" max="42" width="12" style="4" customWidth="1"/>
    <col min="43" max="274" width="11.42578125" style="4"/>
    <col min="275" max="275" width="12" style="4" customWidth="1"/>
    <col min="276" max="276" width="32" style="4" customWidth="1"/>
    <col min="277" max="277" width="20.7109375" style="4" customWidth="1"/>
    <col min="278" max="279" width="16.5703125" style="4" customWidth="1"/>
    <col min="280" max="280" width="13.5703125" style="4" customWidth="1"/>
    <col min="281" max="530" width="11.42578125" style="4"/>
    <col min="531" max="531" width="12" style="4" customWidth="1"/>
    <col min="532" max="532" width="32" style="4" customWidth="1"/>
    <col min="533" max="533" width="20.7109375" style="4" customWidth="1"/>
    <col min="534" max="535" width="16.5703125" style="4" customWidth="1"/>
    <col min="536" max="536" width="13.5703125" style="4" customWidth="1"/>
    <col min="537" max="786" width="11.42578125" style="4"/>
    <col min="787" max="787" width="12" style="4" customWidth="1"/>
    <col min="788" max="788" width="32" style="4" customWidth="1"/>
    <col min="789" max="789" width="20.7109375" style="4" customWidth="1"/>
    <col min="790" max="791" width="16.5703125" style="4" customWidth="1"/>
    <col min="792" max="792" width="13.5703125" style="4" customWidth="1"/>
    <col min="793" max="1042" width="11.42578125" style="4"/>
    <col min="1043" max="1043" width="12" style="4" customWidth="1"/>
    <col min="1044" max="1044" width="32" style="4" customWidth="1"/>
    <col min="1045" max="1045" width="20.7109375" style="4" customWidth="1"/>
    <col min="1046" max="1047" width="16.5703125" style="4" customWidth="1"/>
    <col min="1048" max="1048" width="13.5703125" style="4" customWidth="1"/>
    <col min="1049" max="1298" width="11.42578125" style="4"/>
    <col min="1299" max="1299" width="12" style="4" customWidth="1"/>
    <col min="1300" max="1300" width="32" style="4" customWidth="1"/>
    <col min="1301" max="1301" width="20.7109375" style="4" customWidth="1"/>
    <col min="1302" max="1303" width="16.5703125" style="4" customWidth="1"/>
    <col min="1304" max="1304" width="13.5703125" style="4" customWidth="1"/>
    <col min="1305" max="1554" width="11.42578125" style="4"/>
    <col min="1555" max="1555" width="12" style="4" customWidth="1"/>
    <col min="1556" max="1556" width="32" style="4" customWidth="1"/>
    <col min="1557" max="1557" width="20.7109375" style="4" customWidth="1"/>
    <col min="1558" max="1559" width="16.5703125" style="4" customWidth="1"/>
    <col min="1560" max="1560" width="13.5703125" style="4" customWidth="1"/>
    <col min="1561" max="1810" width="11.42578125" style="4"/>
    <col min="1811" max="1811" width="12" style="4" customWidth="1"/>
    <col min="1812" max="1812" width="32" style="4" customWidth="1"/>
    <col min="1813" max="1813" width="20.7109375" style="4" customWidth="1"/>
    <col min="1814" max="1815" width="16.5703125" style="4" customWidth="1"/>
    <col min="1816" max="1816" width="13.5703125" style="4" customWidth="1"/>
    <col min="1817" max="2066" width="11.42578125" style="4"/>
    <col min="2067" max="2067" width="12" style="4" customWidth="1"/>
    <col min="2068" max="2068" width="32" style="4" customWidth="1"/>
    <col min="2069" max="2069" width="20.7109375" style="4" customWidth="1"/>
    <col min="2070" max="2071" width="16.5703125" style="4" customWidth="1"/>
    <col min="2072" max="2072" width="13.5703125" style="4" customWidth="1"/>
    <col min="2073" max="2322" width="11.42578125" style="4"/>
    <col min="2323" max="2323" width="12" style="4" customWidth="1"/>
    <col min="2324" max="2324" width="32" style="4" customWidth="1"/>
    <col min="2325" max="2325" width="20.7109375" style="4" customWidth="1"/>
    <col min="2326" max="2327" width="16.5703125" style="4" customWidth="1"/>
    <col min="2328" max="2328" width="13.5703125" style="4" customWidth="1"/>
    <col min="2329" max="2578" width="11.42578125" style="4"/>
    <col min="2579" max="2579" width="12" style="4" customWidth="1"/>
    <col min="2580" max="2580" width="32" style="4" customWidth="1"/>
    <col min="2581" max="2581" width="20.7109375" style="4" customWidth="1"/>
    <col min="2582" max="2583" width="16.5703125" style="4" customWidth="1"/>
    <col min="2584" max="2584" width="13.5703125" style="4" customWidth="1"/>
    <col min="2585" max="2834" width="11.42578125" style="4"/>
    <col min="2835" max="2835" width="12" style="4" customWidth="1"/>
    <col min="2836" max="2836" width="32" style="4" customWidth="1"/>
    <col min="2837" max="2837" width="20.7109375" style="4" customWidth="1"/>
    <col min="2838" max="2839" width="16.5703125" style="4" customWidth="1"/>
    <col min="2840" max="2840" width="13.5703125" style="4" customWidth="1"/>
    <col min="2841" max="3090" width="11.42578125" style="4"/>
    <col min="3091" max="3091" width="12" style="4" customWidth="1"/>
    <col min="3092" max="3092" width="32" style="4" customWidth="1"/>
    <col min="3093" max="3093" width="20.7109375" style="4" customWidth="1"/>
    <col min="3094" max="3095" width="16.5703125" style="4" customWidth="1"/>
    <col min="3096" max="3096" width="13.5703125" style="4" customWidth="1"/>
    <col min="3097" max="3346" width="11.42578125" style="4"/>
    <col min="3347" max="3347" width="12" style="4" customWidth="1"/>
    <col min="3348" max="3348" width="32" style="4" customWidth="1"/>
    <col min="3349" max="3349" width="20.7109375" style="4" customWidth="1"/>
    <col min="3350" max="3351" width="16.5703125" style="4" customWidth="1"/>
    <col min="3352" max="3352" width="13.5703125" style="4" customWidth="1"/>
    <col min="3353" max="3602" width="11.42578125" style="4"/>
    <col min="3603" max="3603" width="12" style="4" customWidth="1"/>
    <col min="3604" max="3604" width="32" style="4" customWidth="1"/>
    <col min="3605" max="3605" width="20.7109375" style="4" customWidth="1"/>
    <col min="3606" max="3607" width="16.5703125" style="4" customWidth="1"/>
    <col min="3608" max="3608" width="13.5703125" style="4" customWidth="1"/>
    <col min="3609" max="3858" width="11.42578125" style="4"/>
    <col min="3859" max="3859" width="12" style="4" customWidth="1"/>
    <col min="3860" max="3860" width="32" style="4" customWidth="1"/>
    <col min="3861" max="3861" width="20.7109375" style="4" customWidth="1"/>
    <col min="3862" max="3863" width="16.5703125" style="4" customWidth="1"/>
    <col min="3864" max="3864" width="13.5703125" style="4" customWidth="1"/>
    <col min="3865" max="4114" width="11.42578125" style="4"/>
    <col min="4115" max="4115" width="12" style="4" customWidth="1"/>
    <col min="4116" max="4116" width="32" style="4" customWidth="1"/>
    <col min="4117" max="4117" width="20.7109375" style="4" customWidth="1"/>
    <col min="4118" max="4119" width="16.5703125" style="4" customWidth="1"/>
    <col min="4120" max="4120" width="13.5703125" style="4" customWidth="1"/>
    <col min="4121" max="4370" width="11.42578125" style="4"/>
    <col min="4371" max="4371" width="12" style="4" customWidth="1"/>
    <col min="4372" max="4372" width="32" style="4" customWidth="1"/>
    <col min="4373" max="4373" width="20.7109375" style="4" customWidth="1"/>
    <col min="4374" max="4375" width="16.5703125" style="4" customWidth="1"/>
    <col min="4376" max="4376" width="13.5703125" style="4" customWidth="1"/>
    <col min="4377" max="4626" width="11.42578125" style="4"/>
    <col min="4627" max="4627" width="12" style="4" customWidth="1"/>
    <col min="4628" max="4628" width="32" style="4" customWidth="1"/>
    <col min="4629" max="4629" width="20.7109375" style="4" customWidth="1"/>
    <col min="4630" max="4631" width="16.5703125" style="4" customWidth="1"/>
    <col min="4632" max="4632" width="13.5703125" style="4" customWidth="1"/>
    <col min="4633" max="4882" width="11.42578125" style="4"/>
    <col min="4883" max="4883" width="12" style="4" customWidth="1"/>
    <col min="4884" max="4884" width="32" style="4" customWidth="1"/>
    <col min="4885" max="4885" width="20.7109375" style="4" customWidth="1"/>
    <col min="4886" max="4887" width="16.5703125" style="4" customWidth="1"/>
    <col min="4888" max="4888" width="13.5703125" style="4" customWidth="1"/>
    <col min="4889" max="5138" width="11.42578125" style="4"/>
    <col min="5139" max="5139" width="12" style="4" customWidth="1"/>
    <col min="5140" max="5140" width="32" style="4" customWidth="1"/>
    <col min="5141" max="5141" width="20.7109375" style="4" customWidth="1"/>
    <col min="5142" max="5143" width="16.5703125" style="4" customWidth="1"/>
    <col min="5144" max="5144" width="13.5703125" style="4" customWidth="1"/>
    <col min="5145" max="5394" width="11.42578125" style="4"/>
    <col min="5395" max="5395" width="12" style="4" customWidth="1"/>
    <col min="5396" max="5396" width="32" style="4" customWidth="1"/>
    <col min="5397" max="5397" width="20.7109375" style="4" customWidth="1"/>
    <col min="5398" max="5399" width="16.5703125" style="4" customWidth="1"/>
    <col min="5400" max="5400" width="13.5703125" style="4" customWidth="1"/>
    <col min="5401" max="5650" width="11.42578125" style="4"/>
    <col min="5651" max="5651" width="12" style="4" customWidth="1"/>
    <col min="5652" max="5652" width="32" style="4" customWidth="1"/>
    <col min="5653" max="5653" width="20.7109375" style="4" customWidth="1"/>
    <col min="5654" max="5655" width="16.5703125" style="4" customWidth="1"/>
    <col min="5656" max="5656" width="13.5703125" style="4" customWidth="1"/>
    <col min="5657" max="5906" width="11.42578125" style="4"/>
    <col min="5907" max="5907" width="12" style="4" customWidth="1"/>
    <col min="5908" max="5908" width="32" style="4" customWidth="1"/>
    <col min="5909" max="5909" width="20.7109375" style="4" customWidth="1"/>
    <col min="5910" max="5911" width="16.5703125" style="4" customWidth="1"/>
    <col min="5912" max="5912" width="13.5703125" style="4" customWidth="1"/>
    <col min="5913" max="6162" width="11.42578125" style="4"/>
    <col min="6163" max="6163" width="12" style="4" customWidth="1"/>
    <col min="6164" max="6164" width="32" style="4" customWidth="1"/>
    <col min="6165" max="6165" width="20.7109375" style="4" customWidth="1"/>
    <col min="6166" max="6167" width="16.5703125" style="4" customWidth="1"/>
    <col min="6168" max="6168" width="13.5703125" style="4" customWidth="1"/>
    <col min="6169" max="6418" width="11.42578125" style="4"/>
    <col min="6419" max="6419" width="12" style="4" customWidth="1"/>
    <col min="6420" max="6420" width="32" style="4" customWidth="1"/>
    <col min="6421" max="6421" width="20.7109375" style="4" customWidth="1"/>
    <col min="6422" max="6423" width="16.5703125" style="4" customWidth="1"/>
    <col min="6424" max="6424" width="13.5703125" style="4" customWidth="1"/>
    <col min="6425" max="6674" width="11.42578125" style="4"/>
    <col min="6675" max="6675" width="12" style="4" customWidth="1"/>
    <col min="6676" max="6676" width="32" style="4" customWidth="1"/>
    <col min="6677" max="6677" width="20.7109375" style="4" customWidth="1"/>
    <col min="6678" max="6679" width="16.5703125" style="4" customWidth="1"/>
    <col min="6680" max="6680" width="13.5703125" style="4" customWidth="1"/>
    <col min="6681" max="6930" width="11.42578125" style="4"/>
    <col min="6931" max="6931" width="12" style="4" customWidth="1"/>
    <col min="6932" max="6932" width="32" style="4" customWidth="1"/>
    <col min="6933" max="6933" width="20.7109375" style="4" customWidth="1"/>
    <col min="6934" max="6935" width="16.5703125" style="4" customWidth="1"/>
    <col min="6936" max="6936" width="13.5703125" style="4" customWidth="1"/>
    <col min="6937" max="7186" width="11.42578125" style="4"/>
    <col min="7187" max="7187" width="12" style="4" customWidth="1"/>
    <col min="7188" max="7188" width="32" style="4" customWidth="1"/>
    <col min="7189" max="7189" width="20.7109375" style="4" customWidth="1"/>
    <col min="7190" max="7191" width="16.5703125" style="4" customWidth="1"/>
    <col min="7192" max="7192" width="13.5703125" style="4" customWidth="1"/>
    <col min="7193" max="7442" width="11.42578125" style="4"/>
    <col min="7443" max="7443" width="12" style="4" customWidth="1"/>
    <col min="7444" max="7444" width="32" style="4" customWidth="1"/>
    <col min="7445" max="7445" width="20.7109375" style="4" customWidth="1"/>
    <col min="7446" max="7447" width="16.5703125" style="4" customWidth="1"/>
    <col min="7448" max="7448" width="13.5703125" style="4" customWidth="1"/>
    <col min="7449" max="7698" width="11.42578125" style="4"/>
    <col min="7699" max="7699" width="12" style="4" customWidth="1"/>
    <col min="7700" max="7700" width="32" style="4" customWidth="1"/>
    <col min="7701" max="7701" width="20.7109375" style="4" customWidth="1"/>
    <col min="7702" max="7703" width="16.5703125" style="4" customWidth="1"/>
    <col min="7704" max="7704" width="13.5703125" style="4" customWidth="1"/>
    <col min="7705" max="7954" width="11.42578125" style="4"/>
    <col min="7955" max="7955" width="12" style="4" customWidth="1"/>
    <col min="7956" max="7956" width="32" style="4" customWidth="1"/>
    <col min="7957" max="7957" width="20.7109375" style="4" customWidth="1"/>
    <col min="7958" max="7959" width="16.5703125" style="4" customWidth="1"/>
    <col min="7960" max="7960" width="13.5703125" style="4" customWidth="1"/>
    <col min="7961" max="8210" width="11.42578125" style="4"/>
    <col min="8211" max="8211" width="12" style="4" customWidth="1"/>
    <col min="8212" max="8212" width="32" style="4" customWidth="1"/>
    <col min="8213" max="8213" width="20.7109375" style="4" customWidth="1"/>
    <col min="8214" max="8215" width="16.5703125" style="4" customWidth="1"/>
    <col min="8216" max="8216" width="13.5703125" style="4" customWidth="1"/>
    <col min="8217" max="8466" width="11.42578125" style="4"/>
    <col min="8467" max="8467" width="12" style="4" customWidth="1"/>
    <col min="8468" max="8468" width="32" style="4" customWidth="1"/>
    <col min="8469" max="8469" width="20.7109375" style="4" customWidth="1"/>
    <col min="8470" max="8471" width="16.5703125" style="4" customWidth="1"/>
    <col min="8472" max="8472" width="13.5703125" style="4" customWidth="1"/>
    <col min="8473" max="8722" width="11.42578125" style="4"/>
    <col min="8723" max="8723" width="12" style="4" customWidth="1"/>
    <col min="8724" max="8724" width="32" style="4" customWidth="1"/>
    <col min="8725" max="8725" width="20.7109375" style="4" customWidth="1"/>
    <col min="8726" max="8727" width="16.5703125" style="4" customWidth="1"/>
    <col min="8728" max="8728" width="13.5703125" style="4" customWidth="1"/>
    <col min="8729" max="8978" width="11.42578125" style="4"/>
    <col min="8979" max="8979" width="12" style="4" customWidth="1"/>
    <col min="8980" max="8980" width="32" style="4" customWidth="1"/>
    <col min="8981" max="8981" width="20.7109375" style="4" customWidth="1"/>
    <col min="8982" max="8983" width="16.5703125" style="4" customWidth="1"/>
    <col min="8984" max="8984" width="13.5703125" style="4" customWidth="1"/>
    <col min="8985" max="9234" width="11.42578125" style="4"/>
    <col min="9235" max="9235" width="12" style="4" customWidth="1"/>
    <col min="9236" max="9236" width="32" style="4" customWidth="1"/>
    <col min="9237" max="9237" width="20.7109375" style="4" customWidth="1"/>
    <col min="9238" max="9239" width="16.5703125" style="4" customWidth="1"/>
    <col min="9240" max="9240" width="13.5703125" style="4" customWidth="1"/>
    <col min="9241" max="9490" width="11.42578125" style="4"/>
    <col min="9491" max="9491" width="12" style="4" customWidth="1"/>
    <col min="9492" max="9492" width="32" style="4" customWidth="1"/>
    <col min="9493" max="9493" width="20.7109375" style="4" customWidth="1"/>
    <col min="9494" max="9495" width="16.5703125" style="4" customWidth="1"/>
    <col min="9496" max="9496" width="13.5703125" style="4" customWidth="1"/>
    <col min="9497" max="9746" width="11.42578125" style="4"/>
    <col min="9747" max="9747" width="12" style="4" customWidth="1"/>
    <col min="9748" max="9748" width="32" style="4" customWidth="1"/>
    <col min="9749" max="9749" width="20.7109375" style="4" customWidth="1"/>
    <col min="9750" max="9751" width="16.5703125" style="4" customWidth="1"/>
    <col min="9752" max="9752" width="13.5703125" style="4" customWidth="1"/>
    <col min="9753" max="10002" width="11.42578125" style="4"/>
    <col min="10003" max="10003" width="12" style="4" customWidth="1"/>
    <col min="10004" max="10004" width="32" style="4" customWidth="1"/>
    <col min="10005" max="10005" width="20.7109375" style="4" customWidth="1"/>
    <col min="10006" max="10007" width="16.5703125" style="4" customWidth="1"/>
    <col min="10008" max="10008" width="13.5703125" style="4" customWidth="1"/>
    <col min="10009" max="10258" width="11.42578125" style="4"/>
    <col min="10259" max="10259" width="12" style="4" customWidth="1"/>
    <col min="10260" max="10260" width="32" style="4" customWidth="1"/>
    <col min="10261" max="10261" width="20.7109375" style="4" customWidth="1"/>
    <col min="10262" max="10263" width="16.5703125" style="4" customWidth="1"/>
    <col min="10264" max="10264" width="13.5703125" style="4" customWidth="1"/>
    <col min="10265" max="10514" width="11.42578125" style="4"/>
    <col min="10515" max="10515" width="12" style="4" customWidth="1"/>
    <col min="10516" max="10516" width="32" style="4" customWidth="1"/>
    <col min="10517" max="10517" width="20.7109375" style="4" customWidth="1"/>
    <col min="10518" max="10519" width="16.5703125" style="4" customWidth="1"/>
    <col min="10520" max="10520" width="13.5703125" style="4" customWidth="1"/>
    <col min="10521" max="10770" width="11.42578125" style="4"/>
    <col min="10771" max="10771" width="12" style="4" customWidth="1"/>
    <col min="10772" max="10772" width="32" style="4" customWidth="1"/>
    <col min="10773" max="10773" width="20.7109375" style="4" customWidth="1"/>
    <col min="10774" max="10775" width="16.5703125" style="4" customWidth="1"/>
    <col min="10776" max="10776" width="13.5703125" style="4" customWidth="1"/>
    <col min="10777" max="11026" width="11.42578125" style="4"/>
    <col min="11027" max="11027" width="12" style="4" customWidth="1"/>
    <col min="11028" max="11028" width="32" style="4" customWidth="1"/>
    <col min="11029" max="11029" width="20.7109375" style="4" customWidth="1"/>
    <col min="11030" max="11031" width="16.5703125" style="4" customWidth="1"/>
    <col min="11032" max="11032" width="13.5703125" style="4" customWidth="1"/>
    <col min="11033" max="11282" width="11.42578125" style="4"/>
    <col min="11283" max="11283" width="12" style="4" customWidth="1"/>
    <col min="11284" max="11284" width="32" style="4" customWidth="1"/>
    <col min="11285" max="11285" width="20.7109375" style="4" customWidth="1"/>
    <col min="11286" max="11287" width="16.5703125" style="4" customWidth="1"/>
    <col min="11288" max="11288" width="13.5703125" style="4" customWidth="1"/>
    <col min="11289" max="11538" width="11.42578125" style="4"/>
    <col min="11539" max="11539" width="12" style="4" customWidth="1"/>
    <col min="11540" max="11540" width="32" style="4" customWidth="1"/>
    <col min="11541" max="11541" width="20.7109375" style="4" customWidth="1"/>
    <col min="11542" max="11543" width="16.5703125" style="4" customWidth="1"/>
    <col min="11544" max="11544" width="13.5703125" style="4" customWidth="1"/>
    <col min="11545" max="11794" width="11.42578125" style="4"/>
    <col min="11795" max="11795" width="12" style="4" customWidth="1"/>
    <col min="11796" max="11796" width="32" style="4" customWidth="1"/>
    <col min="11797" max="11797" width="20.7109375" style="4" customWidth="1"/>
    <col min="11798" max="11799" width="16.5703125" style="4" customWidth="1"/>
    <col min="11800" max="11800" width="13.5703125" style="4" customWidth="1"/>
    <col min="11801" max="12050" width="11.42578125" style="4"/>
    <col min="12051" max="12051" width="12" style="4" customWidth="1"/>
    <col min="12052" max="12052" width="32" style="4" customWidth="1"/>
    <col min="12053" max="12053" width="20.7109375" style="4" customWidth="1"/>
    <col min="12054" max="12055" width="16.5703125" style="4" customWidth="1"/>
    <col min="12056" max="12056" width="13.5703125" style="4" customWidth="1"/>
    <col min="12057" max="12306" width="11.42578125" style="4"/>
    <col min="12307" max="12307" width="12" style="4" customWidth="1"/>
    <col min="12308" max="12308" width="32" style="4" customWidth="1"/>
    <col min="12309" max="12309" width="20.7109375" style="4" customWidth="1"/>
    <col min="12310" max="12311" width="16.5703125" style="4" customWidth="1"/>
    <col min="12312" max="12312" width="13.5703125" style="4" customWidth="1"/>
    <col min="12313" max="12562" width="11.42578125" style="4"/>
    <col min="12563" max="12563" width="12" style="4" customWidth="1"/>
    <col min="12564" max="12564" width="32" style="4" customWidth="1"/>
    <col min="12565" max="12565" width="20.7109375" style="4" customWidth="1"/>
    <col min="12566" max="12567" width="16.5703125" style="4" customWidth="1"/>
    <col min="12568" max="12568" width="13.5703125" style="4" customWidth="1"/>
    <col min="12569" max="12818" width="11.42578125" style="4"/>
    <col min="12819" max="12819" width="12" style="4" customWidth="1"/>
    <col min="12820" max="12820" width="32" style="4" customWidth="1"/>
    <col min="12821" max="12821" width="20.7109375" style="4" customWidth="1"/>
    <col min="12822" max="12823" width="16.5703125" style="4" customWidth="1"/>
    <col min="12824" max="12824" width="13.5703125" style="4" customWidth="1"/>
    <col min="12825" max="13074" width="11.42578125" style="4"/>
    <col min="13075" max="13075" width="12" style="4" customWidth="1"/>
    <col min="13076" max="13076" width="32" style="4" customWidth="1"/>
    <col min="13077" max="13077" width="20.7109375" style="4" customWidth="1"/>
    <col min="13078" max="13079" width="16.5703125" style="4" customWidth="1"/>
    <col min="13080" max="13080" width="13.5703125" style="4" customWidth="1"/>
    <col min="13081" max="13330" width="11.42578125" style="4"/>
    <col min="13331" max="13331" width="12" style="4" customWidth="1"/>
    <col min="13332" max="13332" width="32" style="4" customWidth="1"/>
    <col min="13333" max="13333" width="20.7109375" style="4" customWidth="1"/>
    <col min="13334" max="13335" width="16.5703125" style="4" customWidth="1"/>
    <col min="13336" max="13336" width="13.5703125" style="4" customWidth="1"/>
    <col min="13337" max="13586" width="11.42578125" style="4"/>
    <col min="13587" max="13587" width="12" style="4" customWidth="1"/>
    <col min="13588" max="13588" width="32" style="4" customWidth="1"/>
    <col min="13589" max="13589" width="20.7109375" style="4" customWidth="1"/>
    <col min="13590" max="13591" width="16.5703125" style="4" customWidth="1"/>
    <col min="13592" max="13592" width="13.5703125" style="4" customWidth="1"/>
    <col min="13593" max="13842" width="11.42578125" style="4"/>
    <col min="13843" max="13843" width="12" style="4" customWidth="1"/>
    <col min="13844" max="13844" width="32" style="4" customWidth="1"/>
    <col min="13845" max="13845" width="20.7109375" style="4" customWidth="1"/>
    <col min="13846" max="13847" width="16.5703125" style="4" customWidth="1"/>
    <col min="13848" max="13848" width="13.5703125" style="4" customWidth="1"/>
    <col min="13849" max="14098" width="11.42578125" style="4"/>
    <col min="14099" max="14099" width="12" style="4" customWidth="1"/>
    <col min="14100" max="14100" width="32" style="4" customWidth="1"/>
    <col min="14101" max="14101" width="20.7109375" style="4" customWidth="1"/>
    <col min="14102" max="14103" width="16.5703125" style="4" customWidth="1"/>
    <col min="14104" max="14104" width="13.5703125" style="4" customWidth="1"/>
    <col min="14105" max="14354" width="11.42578125" style="4"/>
    <col min="14355" max="14355" width="12" style="4" customWidth="1"/>
    <col min="14356" max="14356" width="32" style="4" customWidth="1"/>
    <col min="14357" max="14357" width="20.7109375" style="4" customWidth="1"/>
    <col min="14358" max="14359" width="16.5703125" style="4" customWidth="1"/>
    <col min="14360" max="14360" width="13.5703125" style="4" customWidth="1"/>
    <col min="14361" max="14610" width="11.42578125" style="4"/>
    <col min="14611" max="14611" width="12" style="4" customWidth="1"/>
    <col min="14612" max="14612" width="32" style="4" customWidth="1"/>
    <col min="14613" max="14613" width="20.7109375" style="4" customWidth="1"/>
    <col min="14614" max="14615" width="16.5703125" style="4" customWidth="1"/>
    <col min="14616" max="14616" width="13.5703125" style="4" customWidth="1"/>
    <col min="14617" max="14866" width="11.42578125" style="4"/>
    <col min="14867" max="14867" width="12" style="4" customWidth="1"/>
    <col min="14868" max="14868" width="32" style="4" customWidth="1"/>
    <col min="14869" max="14869" width="20.7109375" style="4" customWidth="1"/>
    <col min="14870" max="14871" width="16.5703125" style="4" customWidth="1"/>
    <col min="14872" max="14872" width="13.5703125" style="4" customWidth="1"/>
    <col min="14873" max="15122" width="11.42578125" style="4"/>
    <col min="15123" max="15123" width="12" style="4" customWidth="1"/>
    <col min="15124" max="15124" width="32" style="4" customWidth="1"/>
    <col min="15125" max="15125" width="20.7109375" style="4" customWidth="1"/>
    <col min="15126" max="15127" width="16.5703125" style="4" customWidth="1"/>
    <col min="15128" max="15128" width="13.5703125" style="4" customWidth="1"/>
    <col min="15129" max="15378" width="11.42578125" style="4"/>
    <col min="15379" max="15379" width="12" style="4" customWidth="1"/>
    <col min="15380" max="15380" width="32" style="4" customWidth="1"/>
    <col min="15381" max="15381" width="20.7109375" style="4" customWidth="1"/>
    <col min="15382" max="15383" width="16.5703125" style="4" customWidth="1"/>
    <col min="15384" max="15384" width="13.5703125" style="4" customWidth="1"/>
    <col min="15385" max="15634" width="11.42578125" style="4"/>
    <col min="15635" max="15635" width="12" style="4" customWidth="1"/>
    <col min="15636" max="15636" width="32" style="4" customWidth="1"/>
    <col min="15637" max="15637" width="20.7109375" style="4" customWidth="1"/>
    <col min="15638" max="15639" width="16.5703125" style="4" customWidth="1"/>
    <col min="15640" max="15640" width="13.5703125" style="4" customWidth="1"/>
    <col min="15641" max="15890" width="11.42578125" style="4"/>
    <col min="15891" max="15891" width="12" style="4" customWidth="1"/>
    <col min="15892" max="15892" width="32" style="4" customWidth="1"/>
    <col min="15893" max="15893" width="20.7109375" style="4" customWidth="1"/>
    <col min="15894" max="15895" width="16.5703125" style="4" customWidth="1"/>
    <col min="15896" max="15896" width="13.5703125" style="4" customWidth="1"/>
    <col min="15897" max="16146" width="11.42578125" style="4"/>
    <col min="16147" max="16147" width="12" style="4" customWidth="1"/>
    <col min="16148" max="16148" width="32" style="4" customWidth="1"/>
    <col min="16149" max="16149" width="20.7109375" style="4" customWidth="1"/>
    <col min="16150" max="16151" width="16.5703125" style="4" customWidth="1"/>
    <col min="16152" max="16152" width="13.5703125" style="4" customWidth="1"/>
    <col min="16153" max="16384" width="11.42578125" style="4"/>
  </cols>
  <sheetData>
    <row r="1" spans="1:42" s="45" customFormat="1" x14ac:dyDescent="0.2">
      <c r="B1" s="14"/>
      <c r="C1" s="14">
        <v>1</v>
      </c>
      <c r="D1" s="14">
        <f t="shared" ref="D1:AA1" si="0">C1+1</f>
        <v>2</v>
      </c>
      <c r="E1" s="14">
        <f t="shared" si="0"/>
        <v>3</v>
      </c>
      <c r="F1" s="14">
        <f t="shared" si="0"/>
        <v>4</v>
      </c>
      <c r="G1" s="14">
        <f t="shared" si="0"/>
        <v>5</v>
      </c>
      <c r="H1" s="14">
        <f t="shared" si="0"/>
        <v>6</v>
      </c>
      <c r="I1" s="14">
        <f t="shared" si="0"/>
        <v>7</v>
      </c>
      <c r="J1" s="14">
        <f t="shared" si="0"/>
        <v>8</v>
      </c>
      <c r="K1" s="14">
        <f t="shared" si="0"/>
        <v>9</v>
      </c>
      <c r="L1" s="14">
        <f t="shared" si="0"/>
        <v>10</v>
      </c>
      <c r="M1" s="14">
        <f t="shared" si="0"/>
        <v>11</v>
      </c>
      <c r="N1" s="14">
        <f t="shared" si="0"/>
        <v>12</v>
      </c>
      <c r="O1" s="14">
        <f t="shared" si="0"/>
        <v>13</v>
      </c>
      <c r="P1" s="14">
        <f t="shared" si="0"/>
        <v>14</v>
      </c>
      <c r="Q1" s="14">
        <f t="shared" si="0"/>
        <v>15</v>
      </c>
      <c r="R1" s="14">
        <f t="shared" si="0"/>
        <v>16</v>
      </c>
      <c r="S1" s="14">
        <f t="shared" si="0"/>
        <v>17</v>
      </c>
      <c r="T1" s="14">
        <f t="shared" si="0"/>
        <v>18</v>
      </c>
      <c r="U1" s="14">
        <f t="shared" si="0"/>
        <v>19</v>
      </c>
      <c r="V1" s="14">
        <f t="shared" si="0"/>
        <v>20</v>
      </c>
      <c r="W1" s="14">
        <f t="shared" si="0"/>
        <v>21</v>
      </c>
      <c r="X1" s="14">
        <f t="shared" si="0"/>
        <v>22</v>
      </c>
      <c r="Y1" s="14">
        <f t="shared" si="0"/>
        <v>23</v>
      </c>
      <c r="Z1" s="14">
        <f t="shared" si="0"/>
        <v>24</v>
      </c>
      <c r="AA1" s="14">
        <f t="shared" si="0"/>
        <v>25</v>
      </c>
      <c r="AB1" s="14">
        <v>26</v>
      </c>
      <c r="AC1" s="14">
        <v>27</v>
      </c>
      <c r="AD1" s="14">
        <v>28</v>
      </c>
      <c r="AE1" s="14">
        <v>29</v>
      </c>
      <c r="AF1" s="14">
        <v>30</v>
      </c>
      <c r="AG1" s="14">
        <v>31</v>
      </c>
      <c r="AH1" s="14">
        <f>AG1+1</f>
        <v>32</v>
      </c>
      <c r="AI1" s="14">
        <v>33</v>
      </c>
      <c r="AJ1" s="14">
        <v>34</v>
      </c>
      <c r="AK1" s="14">
        <v>35</v>
      </c>
      <c r="AL1" s="14">
        <v>36</v>
      </c>
      <c r="AM1" s="14">
        <v>37</v>
      </c>
      <c r="AN1" s="14">
        <v>38</v>
      </c>
      <c r="AO1" s="14"/>
      <c r="AP1" s="14"/>
    </row>
    <row r="2" spans="1:42" s="45" customFormat="1" ht="63.75" customHeight="1" x14ac:dyDescent="0.2">
      <c r="A2" s="143" t="s">
        <v>0</v>
      </c>
      <c r="B2" s="143" t="s">
        <v>15</v>
      </c>
      <c r="C2" s="128" t="s">
        <v>45</v>
      </c>
      <c r="D2" s="144" t="s">
        <v>21</v>
      </c>
      <c r="E2" s="128" t="s">
        <v>86</v>
      </c>
      <c r="F2" s="144" t="s">
        <v>46</v>
      </c>
      <c r="G2" s="128" t="s">
        <v>61</v>
      </c>
      <c r="H2" s="144" t="s">
        <v>47</v>
      </c>
      <c r="I2" s="128" t="s">
        <v>27</v>
      </c>
      <c r="J2" s="144" t="s">
        <v>44</v>
      </c>
      <c r="K2" s="128" t="s">
        <v>52</v>
      </c>
      <c r="L2" s="144" t="s">
        <v>53</v>
      </c>
      <c r="M2" s="128" t="s">
        <v>43</v>
      </c>
      <c r="N2" s="144" t="s">
        <v>75</v>
      </c>
      <c r="O2" s="128" t="s">
        <v>76</v>
      </c>
      <c r="P2" s="144" t="s">
        <v>59</v>
      </c>
      <c r="Q2" s="128" t="s">
        <v>60</v>
      </c>
      <c r="R2" s="144" t="s">
        <v>51</v>
      </c>
      <c r="S2" s="128" t="s">
        <v>79</v>
      </c>
      <c r="T2" s="144" t="s">
        <v>54</v>
      </c>
      <c r="U2" s="128" t="s">
        <v>55</v>
      </c>
      <c r="V2" s="144" t="s">
        <v>57</v>
      </c>
      <c r="W2" s="128" t="s">
        <v>42</v>
      </c>
      <c r="X2" s="144" t="s">
        <v>29</v>
      </c>
      <c r="Y2" s="128" t="s">
        <v>31</v>
      </c>
      <c r="Z2" s="144" t="s">
        <v>32</v>
      </c>
      <c r="AA2" s="128" t="s">
        <v>33</v>
      </c>
      <c r="AB2" s="144" t="s">
        <v>77</v>
      </c>
      <c r="AC2" s="128" t="s">
        <v>78</v>
      </c>
      <c r="AD2" s="126" t="s">
        <v>91</v>
      </c>
      <c r="AE2" s="127" t="s">
        <v>92</v>
      </c>
      <c r="AF2" s="144" t="s">
        <v>103</v>
      </c>
      <c r="AG2" s="128" t="s">
        <v>95</v>
      </c>
      <c r="AH2" s="129" t="s">
        <v>93</v>
      </c>
      <c r="AI2" s="130" t="s">
        <v>100</v>
      </c>
      <c r="AJ2" s="129" t="s">
        <v>104</v>
      </c>
      <c r="AK2" s="128" t="s">
        <v>105</v>
      </c>
      <c r="AL2" s="131" t="s">
        <v>108</v>
      </c>
      <c r="AM2" s="142" t="s">
        <v>145</v>
      </c>
      <c r="AN2" s="112" t="s">
        <v>146</v>
      </c>
      <c r="AO2" s="144"/>
      <c r="AP2" s="144" t="s">
        <v>127</v>
      </c>
    </row>
    <row r="3" spans="1:42" s="45" customFormat="1" ht="21" customHeight="1" x14ac:dyDescent="0.2">
      <c r="A3" s="76" t="s">
        <v>1</v>
      </c>
      <c r="B3" s="138">
        <v>1</v>
      </c>
      <c r="C3" s="110"/>
      <c r="D3" s="110"/>
      <c r="E3" s="110"/>
      <c r="F3" s="110"/>
      <c r="G3" s="110">
        <f>$G$37</f>
        <v>0</v>
      </c>
      <c r="H3" s="110"/>
      <c r="I3" s="110"/>
      <c r="J3" s="110"/>
      <c r="K3" s="110"/>
      <c r="L3" s="110">
        <f>$G$42</f>
        <v>1.8</v>
      </c>
      <c r="M3" s="110">
        <f>$G$43</f>
        <v>0.4</v>
      </c>
      <c r="N3" s="110">
        <f>$G$44</f>
        <v>2</v>
      </c>
      <c r="O3" s="110"/>
      <c r="P3" s="110"/>
      <c r="Q3" s="110"/>
      <c r="R3" s="110"/>
      <c r="S3" s="110"/>
      <c r="T3" s="110"/>
      <c r="U3" s="110"/>
      <c r="V3" s="110"/>
      <c r="W3" s="110">
        <f>$G$53</f>
        <v>0.22</v>
      </c>
      <c r="X3" s="110">
        <f>$G$54</f>
        <v>1.4</v>
      </c>
      <c r="Y3" s="110">
        <f>$G$55</f>
        <v>0.12</v>
      </c>
      <c r="Z3" s="110">
        <f>$G$56</f>
        <v>0.5</v>
      </c>
      <c r="AA3" s="110">
        <f>$G$57</f>
        <v>0.6</v>
      </c>
      <c r="AB3" s="110"/>
      <c r="AC3" s="110"/>
      <c r="AD3" s="110"/>
      <c r="AE3" s="110"/>
      <c r="AF3" s="110"/>
      <c r="AG3" s="110"/>
      <c r="AH3" s="110"/>
      <c r="AI3" s="110">
        <f>$G$65</f>
        <v>0.75</v>
      </c>
      <c r="AJ3" s="110"/>
      <c r="AK3" s="110">
        <f>$G$67*3</f>
        <v>0.60000000000000009</v>
      </c>
      <c r="AL3" s="110"/>
      <c r="AM3" s="110">
        <f t="shared" ref="AM3:AM14" si="1">$G$69</f>
        <v>0</v>
      </c>
      <c r="AN3" s="110">
        <f t="shared" ref="AN3:AN14" si="2">$G$70</f>
        <v>0</v>
      </c>
      <c r="AO3" s="110">
        <f t="shared" ref="AO3:AO14" si="3">$G$73</f>
        <v>0</v>
      </c>
      <c r="AP3" s="176">
        <f>SUM(C3:AO3)</f>
        <v>8.39</v>
      </c>
    </row>
    <row r="4" spans="1:42" s="45" customFormat="1" ht="21" customHeight="1" x14ac:dyDescent="0.2">
      <c r="A4" s="77" t="s">
        <v>2</v>
      </c>
      <c r="B4" s="139">
        <f>B3+1</f>
        <v>2</v>
      </c>
      <c r="C4" s="81"/>
      <c r="D4" s="81"/>
      <c r="E4" s="81"/>
      <c r="F4" s="81"/>
      <c r="G4" s="81"/>
      <c r="H4" s="81"/>
      <c r="I4" s="81">
        <f>$G$39*7</f>
        <v>2.916666666666667</v>
      </c>
      <c r="J4" s="81"/>
      <c r="K4" s="81"/>
      <c r="L4" s="81">
        <f>$G$42</f>
        <v>1.8</v>
      </c>
      <c r="M4" s="81"/>
      <c r="N4" s="81"/>
      <c r="O4" s="81"/>
      <c r="P4" s="81"/>
      <c r="Q4" s="81"/>
      <c r="R4" s="81">
        <f>$G$48</f>
        <v>5</v>
      </c>
      <c r="S4" s="81"/>
      <c r="T4" s="81"/>
      <c r="U4" s="81"/>
      <c r="V4" s="81"/>
      <c r="W4" s="81">
        <f>$G$53</f>
        <v>0.22</v>
      </c>
      <c r="X4" s="81">
        <f>$G$54</f>
        <v>1.4</v>
      </c>
      <c r="Y4" s="81">
        <f>$G$55</f>
        <v>0.12</v>
      </c>
      <c r="Z4" s="81">
        <f>$G$56</f>
        <v>0.5</v>
      </c>
      <c r="AA4" s="81">
        <f>$G$57</f>
        <v>0.6</v>
      </c>
      <c r="AB4" s="81"/>
      <c r="AC4" s="81"/>
      <c r="AD4" s="81"/>
      <c r="AE4" s="81"/>
      <c r="AF4" s="81"/>
      <c r="AG4" s="81">
        <f>$G$63*7</f>
        <v>2.1</v>
      </c>
      <c r="AH4" s="81"/>
      <c r="AI4" s="81"/>
      <c r="AJ4" s="81"/>
      <c r="AK4" s="81"/>
      <c r="AL4" s="81"/>
      <c r="AM4" s="81">
        <f t="shared" si="1"/>
        <v>0</v>
      </c>
      <c r="AN4" s="81">
        <f t="shared" si="2"/>
        <v>0</v>
      </c>
      <c r="AO4" s="81">
        <f t="shared" si="3"/>
        <v>0</v>
      </c>
      <c r="AP4" s="82">
        <f t="shared" ref="AP4:AP28" si="4">SUM(C4:AO4)</f>
        <v>14.656666666666666</v>
      </c>
    </row>
    <row r="5" spans="1:42" s="45" customFormat="1" ht="21" customHeight="1" x14ac:dyDescent="0.2">
      <c r="A5" s="76" t="s">
        <v>138</v>
      </c>
      <c r="B5" s="138">
        <v>3</v>
      </c>
      <c r="C5" s="110"/>
      <c r="D5" s="110"/>
      <c r="E5" s="110"/>
      <c r="F5" s="110"/>
      <c r="G5" s="110"/>
      <c r="H5" s="110"/>
      <c r="I5" s="110">
        <f>$G$39*9</f>
        <v>3.75</v>
      </c>
      <c r="J5" s="110"/>
      <c r="K5" s="110"/>
      <c r="L5" s="110">
        <f>$G$42</f>
        <v>1.8</v>
      </c>
      <c r="M5" s="110"/>
      <c r="N5" s="110"/>
      <c r="O5" s="110"/>
      <c r="P5" s="110"/>
      <c r="Q5" s="110"/>
      <c r="R5" s="110">
        <f>$G$48</f>
        <v>5</v>
      </c>
      <c r="S5" s="110"/>
      <c r="T5" s="110"/>
      <c r="U5" s="110"/>
      <c r="V5" s="110"/>
      <c r="W5" s="110">
        <f>$G$53</f>
        <v>0.22</v>
      </c>
      <c r="X5" s="110">
        <f>$G$54</f>
        <v>1.4</v>
      </c>
      <c r="Y5" s="110">
        <f>$G$55</f>
        <v>0.12</v>
      </c>
      <c r="Z5" s="110">
        <f>$G$56</f>
        <v>0.5</v>
      </c>
      <c r="AA5" s="110">
        <f>$G$57</f>
        <v>0.6</v>
      </c>
      <c r="AB5" s="110"/>
      <c r="AC5" s="110"/>
      <c r="AD5" s="110"/>
      <c r="AE5" s="110"/>
      <c r="AF5" s="110"/>
      <c r="AG5" s="110">
        <f>$G$63*9</f>
        <v>2.6999999999999997</v>
      </c>
      <c r="AH5" s="110"/>
      <c r="AI5" s="110"/>
      <c r="AJ5" s="110"/>
      <c r="AK5" s="110"/>
      <c r="AL5" s="110"/>
      <c r="AM5" s="110">
        <f t="shared" si="1"/>
        <v>0</v>
      </c>
      <c r="AN5" s="110">
        <f t="shared" si="2"/>
        <v>0</v>
      </c>
      <c r="AO5" s="110">
        <f t="shared" si="3"/>
        <v>0</v>
      </c>
      <c r="AP5" s="176">
        <f t="shared" si="4"/>
        <v>16.09</v>
      </c>
    </row>
    <row r="6" spans="1:42" s="45" customFormat="1" ht="21" customHeight="1" x14ac:dyDescent="0.2">
      <c r="A6" s="77" t="s">
        <v>3</v>
      </c>
      <c r="B6" s="139">
        <v>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>
        <f>$G$68</f>
        <v>0.75</v>
      </c>
      <c r="AM6" s="81">
        <f t="shared" si="1"/>
        <v>0</v>
      </c>
      <c r="AN6" s="81">
        <f t="shared" si="2"/>
        <v>0</v>
      </c>
      <c r="AO6" s="81">
        <f t="shared" si="3"/>
        <v>0</v>
      </c>
      <c r="AP6" s="82">
        <f t="shared" si="4"/>
        <v>0.75</v>
      </c>
    </row>
    <row r="7" spans="1:42" s="45" customFormat="1" ht="21" customHeight="1" x14ac:dyDescent="0.2">
      <c r="A7" s="76" t="s">
        <v>5</v>
      </c>
      <c r="B7" s="138">
        <f t="shared" ref="B7:B27" si="5">B6+1</f>
        <v>5</v>
      </c>
      <c r="C7" s="110"/>
      <c r="D7" s="110"/>
      <c r="E7" s="110">
        <f>$G$35</f>
        <v>0.36</v>
      </c>
      <c r="F7" s="110"/>
      <c r="G7" s="110"/>
      <c r="H7" s="110"/>
      <c r="I7" s="110"/>
      <c r="J7" s="110"/>
      <c r="K7" s="110"/>
      <c r="L7" s="110"/>
      <c r="M7" s="110">
        <f>$G$43</f>
        <v>0.4</v>
      </c>
      <c r="N7" s="110">
        <f>$G$44</f>
        <v>2</v>
      </c>
      <c r="O7" s="110"/>
      <c r="P7" s="110"/>
      <c r="Q7" s="110"/>
      <c r="R7" s="110"/>
      <c r="S7" s="110"/>
      <c r="T7" s="110"/>
      <c r="U7" s="110"/>
      <c r="V7" s="110"/>
      <c r="W7" s="110">
        <f t="shared" ref="W7:W14" si="6">$G$53</f>
        <v>0.22</v>
      </c>
      <c r="X7" s="110">
        <f t="shared" ref="X7:X14" si="7">$G$54</f>
        <v>1.4</v>
      </c>
      <c r="Y7" s="110">
        <f t="shared" ref="Y7:Y14" si="8">$G$55</f>
        <v>0.12</v>
      </c>
      <c r="Z7" s="110">
        <f t="shared" ref="Z7:Z14" si="9">$G$56</f>
        <v>0.5</v>
      </c>
      <c r="AA7" s="110">
        <f t="shared" ref="AA7:AA14" si="10">$G$57</f>
        <v>0.6</v>
      </c>
      <c r="AB7" s="110"/>
      <c r="AC7" s="110"/>
      <c r="AD7" s="110"/>
      <c r="AE7" s="110"/>
      <c r="AF7" s="110"/>
      <c r="AG7" s="110"/>
      <c r="AH7" s="110"/>
      <c r="AI7" s="110">
        <f>$G$65/2</f>
        <v>0.375</v>
      </c>
      <c r="AJ7" s="110"/>
      <c r="AK7" s="110">
        <f>$G$67*10</f>
        <v>2</v>
      </c>
      <c r="AL7" s="110"/>
      <c r="AM7" s="110">
        <f t="shared" si="1"/>
        <v>0</v>
      </c>
      <c r="AN7" s="110">
        <f t="shared" si="2"/>
        <v>0</v>
      </c>
      <c r="AO7" s="110">
        <f t="shared" si="3"/>
        <v>0</v>
      </c>
      <c r="AP7" s="176">
        <f t="shared" si="4"/>
        <v>7.9749999999999996</v>
      </c>
    </row>
    <row r="8" spans="1:42" s="45" customFormat="1" ht="21" customHeight="1" x14ac:dyDescent="0.2">
      <c r="A8" s="77" t="s">
        <v>6</v>
      </c>
      <c r="B8" s="139">
        <f t="shared" si="5"/>
        <v>6</v>
      </c>
      <c r="C8" s="81"/>
      <c r="D8" s="81"/>
      <c r="E8" s="81">
        <f>$G$35</f>
        <v>0.36</v>
      </c>
      <c r="F8" s="81"/>
      <c r="G8" s="81"/>
      <c r="H8" s="81"/>
      <c r="I8" s="81"/>
      <c r="J8" s="81"/>
      <c r="K8" s="81"/>
      <c r="L8" s="81"/>
      <c r="M8" s="81">
        <f>$G$43</f>
        <v>0.4</v>
      </c>
      <c r="N8" s="81">
        <f>$G$44</f>
        <v>2</v>
      </c>
      <c r="O8" s="81"/>
      <c r="P8" s="81"/>
      <c r="Q8" s="81"/>
      <c r="R8" s="81"/>
      <c r="S8" s="81"/>
      <c r="T8" s="81"/>
      <c r="U8" s="81"/>
      <c r="V8" s="81"/>
      <c r="W8" s="81">
        <f t="shared" si="6"/>
        <v>0.22</v>
      </c>
      <c r="X8" s="81">
        <f t="shared" si="7"/>
        <v>1.4</v>
      </c>
      <c r="Y8" s="81">
        <f t="shared" si="8"/>
        <v>0.12</v>
      </c>
      <c r="Z8" s="81">
        <f t="shared" si="9"/>
        <v>0.5</v>
      </c>
      <c r="AA8" s="81">
        <f t="shared" si="10"/>
        <v>0.6</v>
      </c>
      <c r="AB8" s="81"/>
      <c r="AC8" s="81"/>
      <c r="AD8" s="81"/>
      <c r="AE8" s="81"/>
      <c r="AF8" s="81"/>
      <c r="AG8" s="81"/>
      <c r="AH8" s="81"/>
      <c r="AI8" s="81">
        <f>$G$65</f>
        <v>0.75</v>
      </c>
      <c r="AJ8" s="81"/>
      <c r="AK8" s="81">
        <f>$G$67*10</f>
        <v>2</v>
      </c>
      <c r="AL8" s="81"/>
      <c r="AM8" s="81">
        <f t="shared" si="1"/>
        <v>0</v>
      </c>
      <c r="AN8" s="81">
        <f t="shared" si="2"/>
        <v>0</v>
      </c>
      <c r="AO8" s="81">
        <f t="shared" si="3"/>
        <v>0</v>
      </c>
      <c r="AP8" s="82">
        <f t="shared" si="4"/>
        <v>8.35</v>
      </c>
    </row>
    <row r="9" spans="1:42" s="45" customFormat="1" ht="21" customHeight="1" x14ac:dyDescent="0.2">
      <c r="A9" s="76" t="s">
        <v>144</v>
      </c>
      <c r="B9" s="138" t="s">
        <v>139</v>
      </c>
      <c r="C9" s="110">
        <f>$G$33</f>
        <v>3.5</v>
      </c>
      <c r="D9" s="110">
        <f>$G$34</f>
        <v>2.7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>
        <f t="shared" si="6"/>
        <v>0.22</v>
      </c>
      <c r="X9" s="110">
        <f t="shared" si="7"/>
        <v>1.4</v>
      </c>
      <c r="Y9" s="110">
        <f t="shared" si="8"/>
        <v>0.12</v>
      </c>
      <c r="Z9" s="110">
        <f t="shared" si="9"/>
        <v>0.5</v>
      </c>
      <c r="AA9" s="110">
        <f t="shared" si="10"/>
        <v>0.6</v>
      </c>
      <c r="AB9" s="110"/>
      <c r="AC9" s="110"/>
      <c r="AD9" s="110">
        <f>$G$60</f>
        <v>5</v>
      </c>
      <c r="AE9" s="110">
        <f>$G$61</f>
        <v>7</v>
      </c>
      <c r="AF9" s="110"/>
      <c r="AG9" s="110"/>
      <c r="AH9" s="110"/>
      <c r="AI9" s="110"/>
      <c r="AJ9" s="110"/>
      <c r="AK9" s="110"/>
      <c r="AL9" s="110"/>
      <c r="AM9" s="110">
        <f t="shared" si="1"/>
        <v>0</v>
      </c>
      <c r="AN9" s="110">
        <f t="shared" si="2"/>
        <v>0</v>
      </c>
      <c r="AO9" s="110">
        <f t="shared" si="3"/>
        <v>0</v>
      </c>
      <c r="AP9" s="176">
        <f t="shared" si="4"/>
        <v>21.04</v>
      </c>
    </row>
    <row r="10" spans="1:42" s="45" customFormat="1" ht="21" customHeight="1" x14ac:dyDescent="0.2">
      <c r="A10" s="77" t="s">
        <v>8</v>
      </c>
      <c r="B10" s="139" t="s">
        <v>140</v>
      </c>
      <c r="C10" s="81"/>
      <c r="D10" s="81"/>
      <c r="E10" s="81"/>
      <c r="F10" s="81">
        <f>$G$36</f>
        <v>0.216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>
        <f t="shared" si="6"/>
        <v>0.22</v>
      </c>
      <c r="X10" s="81">
        <f t="shared" si="7"/>
        <v>1.4</v>
      </c>
      <c r="Y10" s="81">
        <f t="shared" si="8"/>
        <v>0.12</v>
      </c>
      <c r="Z10" s="81">
        <f t="shared" si="9"/>
        <v>0.5</v>
      </c>
      <c r="AA10" s="81">
        <f t="shared" si="10"/>
        <v>0.6</v>
      </c>
      <c r="AB10" s="81">
        <f>$G$58</f>
        <v>4.5500000000000007</v>
      </c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>
        <f t="shared" si="1"/>
        <v>0</v>
      </c>
      <c r="AN10" s="81">
        <f t="shared" si="2"/>
        <v>0</v>
      </c>
      <c r="AO10" s="81">
        <f t="shared" si="3"/>
        <v>0</v>
      </c>
      <c r="AP10" s="82">
        <f t="shared" si="4"/>
        <v>7.6060000000000008</v>
      </c>
    </row>
    <row r="11" spans="1:42" s="45" customFormat="1" ht="21" customHeight="1" x14ac:dyDescent="0.2">
      <c r="A11" s="76" t="s">
        <v>143</v>
      </c>
      <c r="B11" s="138" t="s">
        <v>141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>
        <f t="shared" si="6"/>
        <v>0.22</v>
      </c>
      <c r="X11" s="110">
        <f t="shared" si="7"/>
        <v>1.4</v>
      </c>
      <c r="Y11" s="110">
        <f t="shared" si="8"/>
        <v>0.12</v>
      </c>
      <c r="Z11" s="110">
        <f t="shared" si="9"/>
        <v>0.5</v>
      </c>
      <c r="AA11" s="110">
        <f t="shared" si="10"/>
        <v>0.6</v>
      </c>
      <c r="AB11" s="110"/>
      <c r="AC11" s="110">
        <f>$G$59</f>
        <v>3.3</v>
      </c>
      <c r="AD11" s="110"/>
      <c r="AE11" s="110"/>
      <c r="AF11" s="110"/>
      <c r="AG11" s="110"/>
      <c r="AH11" s="110"/>
      <c r="AI11" s="110"/>
      <c r="AJ11" s="110"/>
      <c r="AK11" s="110"/>
      <c r="AL11" s="110"/>
      <c r="AM11" s="110">
        <f t="shared" si="1"/>
        <v>0</v>
      </c>
      <c r="AN11" s="110">
        <f t="shared" si="2"/>
        <v>0</v>
      </c>
      <c r="AO11" s="110">
        <f t="shared" si="3"/>
        <v>0</v>
      </c>
      <c r="AP11" s="176">
        <f t="shared" si="4"/>
        <v>6.14</v>
      </c>
    </row>
    <row r="12" spans="1:42" s="45" customFormat="1" ht="21" customHeight="1" x14ac:dyDescent="0.2">
      <c r="A12" s="77" t="s">
        <v>9</v>
      </c>
      <c r="B12" s="139" t="s">
        <v>142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>
        <f>$G$43</f>
        <v>0.4</v>
      </c>
      <c r="N12" s="81">
        <f>$G$44</f>
        <v>2</v>
      </c>
      <c r="O12" s="81"/>
      <c r="P12" s="81"/>
      <c r="Q12" s="81"/>
      <c r="R12" s="81"/>
      <c r="S12" s="81"/>
      <c r="T12" s="81"/>
      <c r="U12" s="81"/>
      <c r="V12" s="81"/>
      <c r="W12" s="81">
        <f t="shared" si="6"/>
        <v>0.22</v>
      </c>
      <c r="X12" s="81">
        <f t="shared" si="7"/>
        <v>1.4</v>
      </c>
      <c r="Y12" s="81">
        <f t="shared" si="8"/>
        <v>0.12</v>
      </c>
      <c r="Z12" s="81">
        <f t="shared" si="9"/>
        <v>0.5</v>
      </c>
      <c r="AA12" s="81">
        <f t="shared" si="10"/>
        <v>0.6</v>
      </c>
      <c r="AB12" s="81"/>
      <c r="AC12" s="81"/>
      <c r="AD12" s="81"/>
      <c r="AE12" s="81"/>
      <c r="AF12" s="81"/>
      <c r="AG12" s="81"/>
      <c r="AH12" s="81"/>
      <c r="AI12" s="81">
        <f>$G$65</f>
        <v>0.75</v>
      </c>
      <c r="AJ12" s="81"/>
      <c r="AK12" s="81">
        <f>$G$67*10</f>
        <v>2</v>
      </c>
      <c r="AL12" s="81"/>
      <c r="AM12" s="81">
        <f t="shared" si="1"/>
        <v>0</v>
      </c>
      <c r="AN12" s="81">
        <f t="shared" si="2"/>
        <v>0</v>
      </c>
      <c r="AO12" s="81">
        <f t="shared" si="3"/>
        <v>0</v>
      </c>
      <c r="AP12" s="82">
        <f t="shared" si="4"/>
        <v>7.9899999999999993</v>
      </c>
    </row>
    <row r="13" spans="1:42" s="45" customFormat="1" ht="21" customHeight="1" x14ac:dyDescent="0.2">
      <c r="A13" s="76" t="s">
        <v>10</v>
      </c>
      <c r="B13" s="138">
        <f t="shared" si="5"/>
        <v>13</v>
      </c>
      <c r="C13" s="110"/>
      <c r="D13" s="110"/>
      <c r="E13" s="110"/>
      <c r="F13" s="110"/>
      <c r="G13" s="110"/>
      <c r="H13" s="110"/>
      <c r="I13" s="110">
        <f>$G$39*7</f>
        <v>2.916666666666667</v>
      </c>
      <c r="J13" s="110"/>
      <c r="K13" s="110"/>
      <c r="L13" s="110">
        <f>$G$42</f>
        <v>1.8</v>
      </c>
      <c r="M13" s="110"/>
      <c r="N13" s="110"/>
      <c r="O13" s="110"/>
      <c r="P13" s="110"/>
      <c r="Q13" s="110"/>
      <c r="R13" s="110">
        <f>$G$48</f>
        <v>5</v>
      </c>
      <c r="S13" s="110"/>
      <c r="T13" s="110"/>
      <c r="U13" s="110"/>
      <c r="V13" s="110"/>
      <c r="W13" s="110">
        <f t="shared" si="6"/>
        <v>0.22</v>
      </c>
      <c r="X13" s="110">
        <f t="shared" si="7"/>
        <v>1.4</v>
      </c>
      <c r="Y13" s="110">
        <f t="shared" si="8"/>
        <v>0.12</v>
      </c>
      <c r="Z13" s="110">
        <f t="shared" si="9"/>
        <v>0.5</v>
      </c>
      <c r="AA13" s="110">
        <f t="shared" si="10"/>
        <v>0.6</v>
      </c>
      <c r="AB13" s="110"/>
      <c r="AC13" s="110"/>
      <c r="AD13" s="110"/>
      <c r="AE13" s="110"/>
      <c r="AF13" s="110"/>
      <c r="AG13" s="110">
        <f>$G$63*7</f>
        <v>2.1</v>
      </c>
      <c r="AH13" s="110"/>
      <c r="AI13" s="110"/>
      <c r="AJ13" s="110"/>
      <c r="AK13" s="110"/>
      <c r="AL13" s="110"/>
      <c r="AM13" s="110">
        <f t="shared" si="1"/>
        <v>0</v>
      </c>
      <c r="AN13" s="110">
        <f t="shared" si="2"/>
        <v>0</v>
      </c>
      <c r="AO13" s="110">
        <f t="shared" si="3"/>
        <v>0</v>
      </c>
      <c r="AP13" s="176">
        <f t="shared" si="4"/>
        <v>14.656666666666666</v>
      </c>
    </row>
    <row r="14" spans="1:42" s="45" customFormat="1" ht="21" customHeight="1" x14ac:dyDescent="0.2">
      <c r="A14" s="77" t="s">
        <v>171</v>
      </c>
      <c r="B14" s="139">
        <f t="shared" si="5"/>
        <v>14</v>
      </c>
      <c r="C14" s="81"/>
      <c r="D14" s="81"/>
      <c r="E14" s="81"/>
      <c r="F14" s="81"/>
      <c r="G14" s="81"/>
      <c r="H14" s="81"/>
      <c r="I14" s="81">
        <f>$G$39*7</f>
        <v>2.916666666666667</v>
      </c>
      <c r="J14" s="81"/>
      <c r="K14" s="81"/>
      <c r="L14" s="81">
        <f>$G$42</f>
        <v>1.8</v>
      </c>
      <c r="M14" s="81"/>
      <c r="N14" s="81"/>
      <c r="O14" s="81"/>
      <c r="P14" s="81"/>
      <c r="Q14" s="81"/>
      <c r="R14" s="81">
        <f>$G$48</f>
        <v>5</v>
      </c>
      <c r="S14" s="81"/>
      <c r="T14" s="81"/>
      <c r="U14" s="81"/>
      <c r="V14" s="81"/>
      <c r="W14" s="81">
        <f t="shared" si="6"/>
        <v>0.22</v>
      </c>
      <c r="X14" s="81">
        <f t="shared" si="7"/>
        <v>1.4</v>
      </c>
      <c r="Y14" s="81">
        <f t="shared" si="8"/>
        <v>0.12</v>
      </c>
      <c r="Z14" s="81">
        <f t="shared" si="9"/>
        <v>0.5</v>
      </c>
      <c r="AA14" s="81">
        <f t="shared" si="10"/>
        <v>0.6</v>
      </c>
      <c r="AB14" s="81"/>
      <c r="AC14" s="81"/>
      <c r="AD14" s="81"/>
      <c r="AE14" s="81"/>
      <c r="AF14" s="81"/>
      <c r="AG14" s="81">
        <f>$G$63*7</f>
        <v>2.1</v>
      </c>
      <c r="AH14" s="81"/>
      <c r="AI14" s="81"/>
      <c r="AJ14" s="81"/>
      <c r="AK14" s="81"/>
      <c r="AL14" s="81"/>
      <c r="AM14" s="81">
        <f t="shared" si="1"/>
        <v>0</v>
      </c>
      <c r="AN14" s="81">
        <f t="shared" si="2"/>
        <v>0</v>
      </c>
      <c r="AO14" s="81">
        <f t="shared" si="3"/>
        <v>0</v>
      </c>
      <c r="AP14" s="82">
        <f t="shared" si="4"/>
        <v>14.656666666666666</v>
      </c>
    </row>
    <row r="15" spans="1:42" s="45" customFormat="1" ht="21" customHeight="1" x14ac:dyDescent="0.2">
      <c r="A15" s="76" t="s">
        <v>11</v>
      </c>
      <c r="B15" s="138">
        <f t="shared" si="5"/>
        <v>15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>
        <f t="shared" ref="W15:W22" si="11">$G$53</f>
        <v>0.22</v>
      </c>
      <c r="X15" s="110">
        <f t="shared" ref="X15:X22" si="12">$G$54</f>
        <v>1.4</v>
      </c>
      <c r="Y15" s="110">
        <f t="shared" ref="Y15:Y22" si="13">$G$55</f>
        <v>0.12</v>
      </c>
      <c r="Z15" s="110">
        <f t="shared" ref="Z15:Z22" si="14">$G$56</f>
        <v>0.5</v>
      </c>
      <c r="AA15" s="110">
        <f t="shared" ref="AA15:AA22" si="15">$G$57</f>
        <v>0.6</v>
      </c>
      <c r="AB15" s="110"/>
      <c r="AC15" s="110"/>
      <c r="AD15" s="110"/>
      <c r="AE15" s="110"/>
      <c r="AF15" s="110"/>
      <c r="AG15" s="110"/>
      <c r="AH15" s="110"/>
      <c r="AI15" s="110"/>
      <c r="AJ15" s="110">
        <f>$G$66</f>
        <v>0.36</v>
      </c>
      <c r="AK15" s="110"/>
      <c r="AL15" s="110">
        <f>$G$68</f>
        <v>0.75</v>
      </c>
      <c r="AM15" s="110">
        <f t="shared" ref="AM15:AM22" si="16">$G$69</f>
        <v>0</v>
      </c>
      <c r="AN15" s="110">
        <f t="shared" ref="AN15:AN22" si="17">$G$70</f>
        <v>0</v>
      </c>
      <c r="AO15" s="110">
        <f t="shared" ref="AO15:AO22" si="18">$G$73</f>
        <v>0</v>
      </c>
      <c r="AP15" s="176">
        <f t="shared" si="4"/>
        <v>3.9499999999999997</v>
      </c>
    </row>
    <row r="16" spans="1:42" s="45" customFormat="1" ht="21" customHeight="1" x14ac:dyDescent="0.2">
      <c r="A16" s="77" t="s">
        <v>12</v>
      </c>
      <c r="B16" s="139">
        <f t="shared" si="5"/>
        <v>16</v>
      </c>
      <c r="C16" s="81"/>
      <c r="D16" s="81"/>
      <c r="E16" s="81"/>
      <c r="F16" s="81"/>
      <c r="G16" s="81"/>
      <c r="H16" s="81">
        <f>$G$38*2</f>
        <v>0.83333333333333337</v>
      </c>
      <c r="I16" s="81"/>
      <c r="J16" s="81"/>
      <c r="K16" s="81"/>
      <c r="L16" s="81">
        <f>$G$42</f>
        <v>1.8</v>
      </c>
      <c r="M16" s="81"/>
      <c r="N16" s="81"/>
      <c r="O16" s="81"/>
      <c r="P16" s="81"/>
      <c r="Q16" s="81"/>
      <c r="R16" s="81"/>
      <c r="S16" s="81"/>
      <c r="T16" s="81">
        <f>$G$50</f>
        <v>5.6</v>
      </c>
      <c r="U16" s="81"/>
      <c r="V16" s="81"/>
      <c r="W16" s="81">
        <f t="shared" si="11"/>
        <v>0.22</v>
      </c>
      <c r="X16" s="81">
        <f t="shared" si="12"/>
        <v>1.4</v>
      </c>
      <c r="Y16" s="81">
        <f t="shared" si="13"/>
        <v>0.12</v>
      </c>
      <c r="Z16" s="81">
        <f t="shared" si="14"/>
        <v>0.5</v>
      </c>
      <c r="AA16" s="81">
        <f t="shared" si="15"/>
        <v>0.6</v>
      </c>
      <c r="AB16" s="81"/>
      <c r="AC16" s="81"/>
      <c r="AD16" s="81"/>
      <c r="AE16" s="81"/>
      <c r="AF16" s="81">
        <f>$G$62*2</f>
        <v>1.6</v>
      </c>
      <c r="AG16" s="81"/>
      <c r="AH16" s="81"/>
      <c r="AI16" s="81"/>
      <c r="AJ16" s="81"/>
      <c r="AK16" s="81"/>
      <c r="AL16" s="81"/>
      <c r="AM16" s="81">
        <f t="shared" si="16"/>
        <v>0</v>
      </c>
      <c r="AN16" s="81">
        <f t="shared" si="17"/>
        <v>0</v>
      </c>
      <c r="AO16" s="81">
        <f t="shared" si="18"/>
        <v>0</v>
      </c>
      <c r="AP16" s="82">
        <f t="shared" si="4"/>
        <v>12.673333333333332</v>
      </c>
    </row>
    <row r="17" spans="1:42" s="45" customFormat="1" ht="21" customHeight="1" x14ac:dyDescent="0.2">
      <c r="A17" s="76" t="s">
        <v>13</v>
      </c>
      <c r="B17" s="138">
        <f t="shared" si="5"/>
        <v>17</v>
      </c>
      <c r="C17" s="110"/>
      <c r="D17" s="110"/>
      <c r="E17" s="110"/>
      <c r="F17" s="110"/>
      <c r="G17" s="110"/>
      <c r="H17" s="110">
        <f>$G$38*2</f>
        <v>0.83333333333333337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>
        <f t="shared" ref="R17:R24" si="19">$G$48</f>
        <v>5</v>
      </c>
      <c r="S17" s="110"/>
      <c r="T17" s="110"/>
      <c r="U17" s="110"/>
      <c r="V17" s="110"/>
      <c r="W17" s="110">
        <f t="shared" si="11"/>
        <v>0.22</v>
      </c>
      <c r="X17" s="110">
        <f t="shared" si="12"/>
        <v>1.4</v>
      </c>
      <c r="Y17" s="110">
        <f t="shared" si="13"/>
        <v>0.12</v>
      </c>
      <c r="Z17" s="110">
        <f t="shared" si="14"/>
        <v>0.5</v>
      </c>
      <c r="AA17" s="110">
        <f t="shared" si="15"/>
        <v>0.6</v>
      </c>
      <c r="AB17" s="110"/>
      <c r="AC17" s="110"/>
      <c r="AD17" s="110"/>
      <c r="AE17" s="110"/>
      <c r="AF17" s="110">
        <f>$G$62*2</f>
        <v>1.6</v>
      </c>
      <c r="AG17" s="110"/>
      <c r="AH17" s="110"/>
      <c r="AI17" s="110"/>
      <c r="AJ17" s="110"/>
      <c r="AK17" s="110"/>
      <c r="AL17" s="110"/>
      <c r="AM17" s="110">
        <f t="shared" si="16"/>
        <v>0</v>
      </c>
      <c r="AN17" s="110">
        <f t="shared" si="17"/>
        <v>0</v>
      </c>
      <c r="AO17" s="110">
        <f t="shared" si="18"/>
        <v>0</v>
      </c>
      <c r="AP17" s="176">
        <f t="shared" si="4"/>
        <v>10.273333333333333</v>
      </c>
    </row>
    <row r="18" spans="1:42" s="45" customFormat="1" ht="21" customHeight="1" x14ac:dyDescent="0.2">
      <c r="A18" s="77" t="s">
        <v>14</v>
      </c>
      <c r="B18" s="139">
        <f t="shared" si="5"/>
        <v>18</v>
      </c>
      <c r="C18" s="81"/>
      <c r="D18" s="81"/>
      <c r="E18" s="81"/>
      <c r="F18" s="81"/>
      <c r="G18" s="81"/>
      <c r="H18" s="81">
        <f>$G$38*2</f>
        <v>0.83333333333333337</v>
      </c>
      <c r="I18" s="81"/>
      <c r="J18" s="81"/>
      <c r="K18" s="81"/>
      <c r="L18" s="81"/>
      <c r="M18" s="81"/>
      <c r="N18" s="81"/>
      <c r="O18" s="81"/>
      <c r="P18" s="81"/>
      <c r="Q18" s="81"/>
      <c r="R18" s="81">
        <f t="shared" si="19"/>
        <v>5</v>
      </c>
      <c r="S18" s="81"/>
      <c r="T18" s="81"/>
      <c r="U18" s="81"/>
      <c r="V18" s="81"/>
      <c r="W18" s="81">
        <f t="shared" si="11"/>
        <v>0.22</v>
      </c>
      <c r="X18" s="81">
        <f t="shared" si="12"/>
        <v>1.4</v>
      </c>
      <c r="Y18" s="81">
        <f t="shared" si="13"/>
        <v>0.12</v>
      </c>
      <c r="Z18" s="81">
        <f t="shared" si="14"/>
        <v>0.5</v>
      </c>
      <c r="AA18" s="81">
        <f t="shared" si="15"/>
        <v>0.6</v>
      </c>
      <c r="AB18" s="81"/>
      <c r="AC18" s="81"/>
      <c r="AD18" s="81"/>
      <c r="AE18" s="81"/>
      <c r="AF18" s="81">
        <f>$G$62*2</f>
        <v>1.6</v>
      </c>
      <c r="AG18" s="81"/>
      <c r="AH18" s="81"/>
      <c r="AI18" s="81"/>
      <c r="AJ18" s="81"/>
      <c r="AK18" s="81"/>
      <c r="AL18" s="81"/>
      <c r="AM18" s="81">
        <f t="shared" si="16"/>
        <v>0</v>
      </c>
      <c r="AN18" s="81">
        <f t="shared" si="17"/>
        <v>0</v>
      </c>
      <c r="AO18" s="81">
        <f t="shared" si="18"/>
        <v>0</v>
      </c>
      <c r="AP18" s="82">
        <f t="shared" si="4"/>
        <v>10.273333333333333</v>
      </c>
    </row>
    <row r="19" spans="1:42" s="45" customFormat="1" ht="21" customHeight="1" x14ac:dyDescent="0.2">
      <c r="A19" s="76" t="s">
        <v>132</v>
      </c>
      <c r="B19" s="138">
        <f t="shared" si="5"/>
        <v>19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>
        <f t="shared" si="19"/>
        <v>5</v>
      </c>
      <c r="S19" s="110"/>
      <c r="T19" s="110"/>
      <c r="U19" s="110"/>
      <c r="V19" s="110"/>
      <c r="W19" s="110">
        <f t="shared" si="11"/>
        <v>0.22</v>
      </c>
      <c r="X19" s="110">
        <f t="shared" si="12"/>
        <v>1.4</v>
      </c>
      <c r="Y19" s="110">
        <f t="shared" si="13"/>
        <v>0.12</v>
      </c>
      <c r="Z19" s="110">
        <f t="shared" si="14"/>
        <v>0.5</v>
      </c>
      <c r="AA19" s="110">
        <f t="shared" si="15"/>
        <v>0.6</v>
      </c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>
        <f t="shared" si="16"/>
        <v>0</v>
      </c>
      <c r="AN19" s="110">
        <f t="shared" si="17"/>
        <v>0</v>
      </c>
      <c r="AO19" s="110">
        <f t="shared" si="18"/>
        <v>0</v>
      </c>
      <c r="AP19" s="176">
        <f t="shared" si="4"/>
        <v>7.839999999999999</v>
      </c>
    </row>
    <row r="20" spans="1:42" s="45" customFormat="1" ht="21" customHeight="1" x14ac:dyDescent="0.2">
      <c r="A20" s="77" t="s">
        <v>131</v>
      </c>
      <c r="B20" s="139">
        <f t="shared" si="5"/>
        <v>20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>
        <f t="shared" si="19"/>
        <v>5</v>
      </c>
      <c r="S20" s="81"/>
      <c r="T20" s="81"/>
      <c r="U20" s="81"/>
      <c r="V20" s="81"/>
      <c r="W20" s="81">
        <f t="shared" si="11"/>
        <v>0.22</v>
      </c>
      <c r="X20" s="81">
        <f t="shared" si="12"/>
        <v>1.4</v>
      </c>
      <c r="Y20" s="81">
        <f t="shared" si="13"/>
        <v>0.12</v>
      </c>
      <c r="Z20" s="81">
        <f t="shared" si="14"/>
        <v>0.5</v>
      </c>
      <c r="AA20" s="81">
        <f t="shared" si="15"/>
        <v>0.6</v>
      </c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>
        <f t="shared" si="16"/>
        <v>0</v>
      </c>
      <c r="AN20" s="81">
        <f t="shared" si="17"/>
        <v>0</v>
      </c>
      <c r="AO20" s="81">
        <f t="shared" si="18"/>
        <v>0</v>
      </c>
      <c r="AP20" s="82">
        <f t="shared" si="4"/>
        <v>7.839999999999999</v>
      </c>
    </row>
    <row r="21" spans="1:42" s="45" customFormat="1" ht="21" customHeight="1" x14ac:dyDescent="0.2">
      <c r="A21" s="76" t="s">
        <v>129</v>
      </c>
      <c r="B21" s="138">
        <f t="shared" si="5"/>
        <v>21</v>
      </c>
      <c r="C21" s="110"/>
      <c r="D21" s="110"/>
      <c r="E21" s="110"/>
      <c r="F21" s="110"/>
      <c r="G21" s="110"/>
      <c r="H21" s="110"/>
      <c r="I21" s="110"/>
      <c r="J21" s="110">
        <f>$G$40*3</f>
        <v>3.3600000000000003</v>
      </c>
      <c r="K21" s="110">
        <f>$G$41</f>
        <v>3.6</v>
      </c>
      <c r="L21" s="110"/>
      <c r="M21" s="110"/>
      <c r="N21" s="110"/>
      <c r="O21" s="110">
        <f>$G$45</f>
        <v>2.9166666666666665</v>
      </c>
      <c r="P21" s="110">
        <f>$G$46</f>
        <v>11.25</v>
      </c>
      <c r="Q21" s="110"/>
      <c r="R21" s="110">
        <f t="shared" si="19"/>
        <v>5</v>
      </c>
      <c r="S21" s="110">
        <f>$G$49</f>
        <v>7</v>
      </c>
      <c r="T21" s="110"/>
      <c r="U21" s="110">
        <f>$G$51</f>
        <v>1.52</v>
      </c>
      <c r="V21" s="110">
        <f>$G$52</f>
        <v>0.32</v>
      </c>
      <c r="W21" s="110">
        <f t="shared" si="11"/>
        <v>0.22</v>
      </c>
      <c r="X21" s="110">
        <f t="shared" si="12"/>
        <v>1.4</v>
      </c>
      <c r="Y21" s="110">
        <f t="shared" si="13"/>
        <v>0.12</v>
      </c>
      <c r="Z21" s="110">
        <f t="shared" si="14"/>
        <v>0.5</v>
      </c>
      <c r="AA21" s="110">
        <f t="shared" si="15"/>
        <v>0.6</v>
      </c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>
        <f t="shared" si="16"/>
        <v>0</v>
      </c>
      <c r="AN21" s="110">
        <f t="shared" si="17"/>
        <v>0</v>
      </c>
      <c r="AO21" s="110">
        <f t="shared" si="18"/>
        <v>0</v>
      </c>
      <c r="AP21" s="176">
        <f t="shared" si="4"/>
        <v>37.806666666666665</v>
      </c>
    </row>
    <row r="22" spans="1:42" s="45" customFormat="1" ht="21" customHeight="1" x14ac:dyDescent="0.2">
      <c r="A22" s="77" t="s">
        <v>172</v>
      </c>
      <c r="B22" s="139">
        <f t="shared" si="5"/>
        <v>22</v>
      </c>
      <c r="C22" s="81"/>
      <c r="D22" s="81"/>
      <c r="E22" s="81"/>
      <c r="F22" s="81"/>
      <c r="G22" s="81"/>
      <c r="H22" s="81"/>
      <c r="I22" s="81"/>
      <c r="J22" s="81">
        <f>$G$40*3</f>
        <v>3.3600000000000003</v>
      </c>
      <c r="K22" s="81">
        <f>$G$41</f>
        <v>3.6</v>
      </c>
      <c r="L22" s="81"/>
      <c r="M22" s="81"/>
      <c r="N22" s="81"/>
      <c r="O22" s="81">
        <f>$G$45</f>
        <v>2.9166666666666665</v>
      </c>
      <c r="P22" s="81">
        <f>$G$46</f>
        <v>11.25</v>
      </c>
      <c r="Q22" s="81"/>
      <c r="R22" s="81">
        <f t="shared" si="19"/>
        <v>5</v>
      </c>
      <c r="S22" s="81">
        <f>$G$49</f>
        <v>7</v>
      </c>
      <c r="T22" s="81"/>
      <c r="U22" s="81">
        <f>$G$51</f>
        <v>1.52</v>
      </c>
      <c r="V22" s="81">
        <f>$G$52</f>
        <v>0.32</v>
      </c>
      <c r="W22" s="81">
        <f t="shared" si="11"/>
        <v>0.22</v>
      </c>
      <c r="X22" s="81">
        <f t="shared" si="12"/>
        <v>1.4</v>
      </c>
      <c r="Y22" s="81">
        <f t="shared" si="13"/>
        <v>0.12</v>
      </c>
      <c r="Z22" s="81">
        <f t="shared" si="14"/>
        <v>0.5</v>
      </c>
      <c r="AA22" s="81">
        <f t="shared" si="15"/>
        <v>0.6</v>
      </c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>
        <f t="shared" si="16"/>
        <v>0</v>
      </c>
      <c r="AN22" s="81">
        <f t="shared" si="17"/>
        <v>0</v>
      </c>
      <c r="AO22" s="81">
        <f t="shared" si="18"/>
        <v>0</v>
      </c>
      <c r="AP22" s="82">
        <f t="shared" si="4"/>
        <v>37.806666666666665</v>
      </c>
    </row>
    <row r="23" spans="1:42" s="45" customFormat="1" ht="21" customHeight="1" x14ac:dyDescent="0.2">
      <c r="A23" s="76" t="s">
        <v>128</v>
      </c>
      <c r="B23" s="138">
        <f t="shared" si="5"/>
        <v>23</v>
      </c>
      <c r="C23" s="110"/>
      <c r="D23" s="110"/>
      <c r="E23" s="110"/>
      <c r="F23" s="110"/>
      <c r="G23" s="110"/>
      <c r="H23" s="110"/>
      <c r="I23" s="110"/>
      <c r="J23" s="110">
        <f>$G$40*3</f>
        <v>3.3600000000000003</v>
      </c>
      <c r="K23" s="110">
        <f>$G$41</f>
        <v>3.6</v>
      </c>
      <c r="L23" s="110"/>
      <c r="M23" s="110"/>
      <c r="N23" s="110"/>
      <c r="O23" s="110">
        <f>$G$45</f>
        <v>2.9166666666666665</v>
      </c>
      <c r="P23" s="110">
        <f>$G$46</f>
        <v>11.25</v>
      </c>
      <c r="Q23" s="110"/>
      <c r="R23" s="110">
        <f t="shared" si="19"/>
        <v>5</v>
      </c>
      <c r="S23" s="110">
        <f>$G$49</f>
        <v>7</v>
      </c>
      <c r="T23" s="110"/>
      <c r="U23" s="110">
        <f>$G$51</f>
        <v>1.52</v>
      </c>
      <c r="V23" s="110">
        <f>$G$52</f>
        <v>0.32</v>
      </c>
      <c r="W23" s="110">
        <f t="shared" ref="W23:W28" si="20">$G$53</f>
        <v>0.22</v>
      </c>
      <c r="X23" s="110">
        <f t="shared" ref="X23:X28" si="21">$G$54</f>
        <v>1.4</v>
      </c>
      <c r="Y23" s="110">
        <f t="shared" ref="Y23:Y28" si="22">$G$55</f>
        <v>0.12</v>
      </c>
      <c r="Z23" s="110">
        <f t="shared" ref="Z23:Z28" si="23">$G$56</f>
        <v>0.5</v>
      </c>
      <c r="AA23" s="110">
        <f t="shared" ref="AA23:AA28" si="24">$G$57</f>
        <v>0.6</v>
      </c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>
        <f t="shared" ref="AM23:AM28" si="25">$G$69</f>
        <v>0</v>
      </c>
      <c r="AN23" s="110">
        <f t="shared" ref="AN23:AN28" si="26">$G$70</f>
        <v>0</v>
      </c>
      <c r="AO23" s="110">
        <f t="shared" ref="AO23:AO28" si="27">$G$73</f>
        <v>0</v>
      </c>
      <c r="AP23" s="176">
        <f t="shared" si="4"/>
        <v>37.806666666666665</v>
      </c>
    </row>
    <row r="24" spans="1:42" s="45" customFormat="1" ht="21" customHeight="1" x14ac:dyDescent="0.2">
      <c r="A24" s="77" t="s">
        <v>130</v>
      </c>
      <c r="B24" s="139">
        <f t="shared" si="5"/>
        <v>24</v>
      </c>
      <c r="C24" s="81"/>
      <c r="D24" s="81"/>
      <c r="E24" s="81"/>
      <c r="F24" s="81">
        <f>$G$36</f>
        <v>0.216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>
        <f t="shared" si="19"/>
        <v>5</v>
      </c>
      <c r="S24" s="81"/>
      <c r="T24" s="81"/>
      <c r="U24" s="81">
        <f>$G$51</f>
        <v>1.52</v>
      </c>
      <c r="V24" s="81">
        <f>$G$52</f>
        <v>0.32</v>
      </c>
      <c r="W24" s="81">
        <f t="shared" si="20"/>
        <v>0.22</v>
      </c>
      <c r="X24" s="81">
        <f t="shared" si="21"/>
        <v>1.4</v>
      </c>
      <c r="Y24" s="81">
        <f t="shared" si="22"/>
        <v>0.12</v>
      </c>
      <c r="Z24" s="81">
        <f t="shared" si="23"/>
        <v>0.5</v>
      </c>
      <c r="AA24" s="81">
        <f t="shared" si="24"/>
        <v>0.6</v>
      </c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>
        <f t="shared" si="25"/>
        <v>0</v>
      </c>
      <c r="AN24" s="81">
        <f t="shared" si="26"/>
        <v>0</v>
      </c>
      <c r="AO24" s="81">
        <f t="shared" si="27"/>
        <v>0</v>
      </c>
      <c r="AP24" s="82">
        <f t="shared" si="4"/>
        <v>9.895999999999999</v>
      </c>
    </row>
    <row r="25" spans="1:42" s="45" customFormat="1" ht="21" customHeight="1" x14ac:dyDescent="0.2">
      <c r="A25" s="76" t="s">
        <v>136</v>
      </c>
      <c r="B25" s="138">
        <f t="shared" si="5"/>
        <v>25</v>
      </c>
      <c r="C25" s="110">
        <f>$G$33</f>
        <v>3.5</v>
      </c>
      <c r="D25" s="110">
        <f>$G$34</f>
        <v>2.7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>
        <f t="shared" si="20"/>
        <v>0.22</v>
      </c>
      <c r="X25" s="110">
        <f t="shared" si="21"/>
        <v>1.4</v>
      </c>
      <c r="Y25" s="110">
        <f t="shared" si="22"/>
        <v>0.12</v>
      </c>
      <c r="Z25" s="110">
        <f t="shared" si="23"/>
        <v>0.5</v>
      </c>
      <c r="AA25" s="110">
        <f t="shared" si="24"/>
        <v>0.6</v>
      </c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>
        <f t="shared" si="25"/>
        <v>0</v>
      </c>
      <c r="AN25" s="110">
        <f t="shared" si="26"/>
        <v>0</v>
      </c>
      <c r="AO25" s="110">
        <f t="shared" si="27"/>
        <v>0</v>
      </c>
      <c r="AP25" s="176">
        <f t="shared" si="4"/>
        <v>9.0400000000000009</v>
      </c>
    </row>
    <row r="26" spans="1:42" s="45" customFormat="1" ht="21" customHeight="1" x14ac:dyDescent="0.2">
      <c r="A26" s="77" t="s">
        <v>137</v>
      </c>
      <c r="B26" s="139">
        <f t="shared" si="5"/>
        <v>26</v>
      </c>
      <c r="C26" s="81">
        <f>$G$33</f>
        <v>3.5</v>
      </c>
      <c r="D26" s="81">
        <f>$G$34</f>
        <v>2.7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>
        <f t="shared" si="20"/>
        <v>0.22</v>
      </c>
      <c r="X26" s="81">
        <f t="shared" si="21"/>
        <v>1.4</v>
      </c>
      <c r="Y26" s="81">
        <f t="shared" si="22"/>
        <v>0.12</v>
      </c>
      <c r="Z26" s="81">
        <f t="shared" si="23"/>
        <v>0.5</v>
      </c>
      <c r="AA26" s="81">
        <f t="shared" si="24"/>
        <v>0.6</v>
      </c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>
        <f t="shared" si="25"/>
        <v>0</v>
      </c>
      <c r="AN26" s="81">
        <f t="shared" si="26"/>
        <v>0</v>
      </c>
      <c r="AO26" s="81">
        <f t="shared" si="27"/>
        <v>0</v>
      </c>
      <c r="AP26" s="82">
        <f t="shared" si="4"/>
        <v>9.0400000000000009</v>
      </c>
    </row>
    <row r="27" spans="1:42" s="45" customFormat="1" ht="21" customHeight="1" x14ac:dyDescent="0.2">
      <c r="A27" s="76" t="s">
        <v>80</v>
      </c>
      <c r="B27" s="138">
        <f t="shared" si="5"/>
        <v>27</v>
      </c>
      <c r="C27" s="110"/>
      <c r="D27" s="110"/>
      <c r="E27" s="110"/>
      <c r="F27" s="110"/>
      <c r="G27" s="110"/>
      <c r="H27" s="110">
        <f>$G$38*2</f>
        <v>0.83333333333333337</v>
      </c>
      <c r="I27" s="110"/>
      <c r="J27" s="110"/>
      <c r="K27" s="110">
        <f>$G$41</f>
        <v>3.6</v>
      </c>
      <c r="L27" s="110"/>
      <c r="M27" s="110"/>
      <c r="N27" s="110"/>
      <c r="O27" s="110"/>
      <c r="P27" s="110">
        <f>$G$46</f>
        <v>11.25</v>
      </c>
      <c r="Q27" s="110"/>
      <c r="R27" s="110">
        <f>$G$48</f>
        <v>5</v>
      </c>
      <c r="S27" s="110"/>
      <c r="T27" s="110"/>
      <c r="U27" s="110"/>
      <c r="V27" s="110"/>
      <c r="W27" s="110">
        <f t="shared" si="20"/>
        <v>0.22</v>
      </c>
      <c r="X27" s="110">
        <f t="shared" si="21"/>
        <v>1.4</v>
      </c>
      <c r="Y27" s="110">
        <f t="shared" si="22"/>
        <v>0.12</v>
      </c>
      <c r="Z27" s="110">
        <f t="shared" si="23"/>
        <v>0.5</v>
      </c>
      <c r="AA27" s="110">
        <f t="shared" si="24"/>
        <v>0.6</v>
      </c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>
        <f t="shared" si="25"/>
        <v>0</v>
      </c>
      <c r="AN27" s="110">
        <f t="shared" si="26"/>
        <v>0</v>
      </c>
      <c r="AO27" s="110">
        <f t="shared" si="27"/>
        <v>0</v>
      </c>
      <c r="AP27" s="176">
        <f t="shared" si="4"/>
        <v>23.523333333333333</v>
      </c>
    </row>
    <row r="28" spans="1:42" s="45" customFormat="1" ht="21" customHeight="1" x14ac:dyDescent="0.2">
      <c r="A28" s="77"/>
      <c r="B28" s="139"/>
      <c r="C28" s="81">
        <f>$G$33</f>
        <v>3.5</v>
      </c>
      <c r="D28" s="81">
        <f>$G$34</f>
        <v>2.7</v>
      </c>
      <c r="E28" s="81">
        <f>$G$35</f>
        <v>0.36</v>
      </c>
      <c r="F28" s="81">
        <f>$G$36</f>
        <v>0.216</v>
      </c>
      <c r="G28" s="81">
        <f t="shared" ref="G28" si="28">$G$37</f>
        <v>0</v>
      </c>
      <c r="H28" s="81">
        <f t="shared" ref="H28" si="29">$G$38</f>
        <v>0.41666666666666669</v>
      </c>
      <c r="I28" s="81">
        <f t="shared" ref="I28" si="30">$G$39</f>
        <v>0.41666666666666669</v>
      </c>
      <c r="J28" s="81">
        <f t="shared" ref="J28" si="31">$G$40</f>
        <v>1.1200000000000001</v>
      </c>
      <c r="K28" s="81">
        <f>$G$41</f>
        <v>3.6</v>
      </c>
      <c r="L28" s="81">
        <f>$G$42</f>
        <v>1.8</v>
      </c>
      <c r="M28" s="81">
        <f>$G$43</f>
        <v>0.4</v>
      </c>
      <c r="N28" s="81">
        <f>$G$44</f>
        <v>2</v>
      </c>
      <c r="O28" s="81">
        <f>$G$45</f>
        <v>2.9166666666666665</v>
      </c>
      <c r="P28" s="81">
        <f>$G$46</f>
        <v>11.25</v>
      </c>
      <c r="Q28" s="81">
        <f t="shared" ref="Q28" si="32">$G$47</f>
        <v>0</v>
      </c>
      <c r="R28" s="81">
        <f>$G$48</f>
        <v>5</v>
      </c>
      <c r="S28" s="81">
        <f>$G$49</f>
        <v>7</v>
      </c>
      <c r="T28" s="81">
        <f>$G$50</f>
        <v>5.6</v>
      </c>
      <c r="U28" s="81">
        <f>$G$51</f>
        <v>1.52</v>
      </c>
      <c r="V28" s="81">
        <f>$G$52</f>
        <v>0.32</v>
      </c>
      <c r="W28" s="81">
        <f t="shared" si="20"/>
        <v>0.22</v>
      </c>
      <c r="X28" s="81">
        <f t="shared" si="21"/>
        <v>1.4</v>
      </c>
      <c r="Y28" s="81">
        <f t="shared" si="22"/>
        <v>0.12</v>
      </c>
      <c r="Z28" s="81">
        <f t="shared" si="23"/>
        <v>0.5</v>
      </c>
      <c r="AA28" s="81">
        <f t="shared" si="24"/>
        <v>0.6</v>
      </c>
      <c r="AB28" s="81">
        <f>$G$58</f>
        <v>4.5500000000000007</v>
      </c>
      <c r="AC28" s="81">
        <f>$G$59</f>
        <v>3.3</v>
      </c>
      <c r="AD28" s="81">
        <f>$G$60</f>
        <v>5</v>
      </c>
      <c r="AE28" s="81">
        <f>$G$61</f>
        <v>7</v>
      </c>
      <c r="AF28" s="81">
        <f t="shared" ref="AF28" si="33">$G$62</f>
        <v>0.8</v>
      </c>
      <c r="AG28" s="81">
        <f t="shared" ref="AG28" si="34">$G$63</f>
        <v>0.3</v>
      </c>
      <c r="AH28" s="81">
        <f t="shared" ref="AH28" si="35">$G$64</f>
        <v>8</v>
      </c>
      <c r="AI28" s="81">
        <f>$G$65</f>
        <v>0.75</v>
      </c>
      <c r="AJ28" s="81">
        <f>$G$66</f>
        <v>0.36</v>
      </c>
      <c r="AK28" s="81">
        <f t="shared" ref="AK28" si="36">$G$67</f>
        <v>0.2</v>
      </c>
      <c r="AL28" s="81">
        <f>$G$68</f>
        <v>0.75</v>
      </c>
      <c r="AM28" s="81">
        <f t="shared" si="25"/>
        <v>0</v>
      </c>
      <c r="AN28" s="81">
        <f t="shared" si="26"/>
        <v>0</v>
      </c>
      <c r="AO28" s="81">
        <f t="shared" si="27"/>
        <v>0</v>
      </c>
      <c r="AP28" s="82">
        <f t="shared" si="4"/>
        <v>83.98599999999999</v>
      </c>
    </row>
    <row r="29" spans="1:42" s="45" customFormat="1" ht="21" customHeight="1" x14ac:dyDescent="0.2">
      <c r="A29" s="78"/>
      <c r="B29" s="136"/>
      <c r="C29" s="113"/>
      <c r="D29" s="79"/>
      <c r="E29" s="79"/>
      <c r="F29" s="79"/>
      <c r="G29" s="79"/>
      <c r="H29" s="79"/>
      <c r="I29" s="79"/>
      <c r="J29" s="113"/>
      <c r="K29" s="79"/>
      <c r="L29" s="79"/>
      <c r="M29" s="79"/>
      <c r="N29" s="79"/>
      <c r="O29" s="79"/>
      <c r="P29" s="79"/>
      <c r="Q29" s="113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114"/>
      <c r="AP29" s="137"/>
    </row>
    <row r="30" spans="1:42" s="45" customFormat="1" ht="21" customHeight="1" x14ac:dyDescent="0.2">
      <c r="A30" s="17"/>
      <c r="B30" s="140"/>
      <c r="C30" s="80"/>
      <c r="D30" s="83"/>
      <c r="E30" s="80"/>
      <c r="F30" s="81"/>
      <c r="G30" s="81"/>
      <c r="H30" s="81"/>
      <c r="I30" s="81"/>
      <c r="J30" s="81"/>
      <c r="K30" s="83"/>
      <c r="L30" s="80"/>
      <c r="M30" s="81"/>
      <c r="N30" s="81"/>
      <c r="O30" s="81"/>
      <c r="P30" s="81"/>
      <c r="Q30" s="80"/>
      <c r="R30" s="83"/>
      <c r="S30" s="80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</row>
    <row r="31" spans="1:42" s="45" customFormat="1" ht="21" customHeight="1" x14ac:dyDescent="0.2">
      <c r="A31" s="88"/>
      <c r="B31" s="87"/>
      <c r="C31" s="88"/>
      <c r="D31" s="90"/>
      <c r="E31" s="88"/>
      <c r="F31" s="91"/>
      <c r="G31" s="91"/>
      <c r="H31" s="91"/>
      <c r="I31" s="91"/>
      <c r="J31" s="91"/>
      <c r="K31" s="90"/>
      <c r="L31" s="88"/>
      <c r="M31" s="91"/>
      <c r="N31" s="91"/>
      <c r="O31" s="91"/>
      <c r="P31" s="91"/>
      <c r="Q31" s="88"/>
      <c r="R31" s="90"/>
      <c r="S31" s="88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</row>
    <row r="32" spans="1:42" s="45" customFormat="1" ht="60" customHeight="1" x14ac:dyDescent="0.2">
      <c r="A32" s="132" t="s">
        <v>23</v>
      </c>
      <c r="B32" s="5" t="s">
        <v>22</v>
      </c>
      <c r="C32" s="9" t="s">
        <v>24</v>
      </c>
      <c r="D32" s="9" t="s">
        <v>74</v>
      </c>
      <c r="E32" s="10" t="s">
        <v>73</v>
      </c>
      <c r="F32" s="9" t="s">
        <v>25</v>
      </c>
      <c r="G32" s="5" t="s">
        <v>62</v>
      </c>
      <c r="H32" s="5" t="s">
        <v>89</v>
      </c>
      <c r="I32" s="48" t="s">
        <v>71</v>
      </c>
      <c r="J32" s="48" t="s">
        <v>72</v>
      </c>
      <c r="K32" s="5" t="s">
        <v>101</v>
      </c>
    </row>
    <row r="33" spans="1:11" s="45" customFormat="1" ht="14.1" customHeight="1" x14ac:dyDescent="0.2">
      <c r="A33" s="133" t="s">
        <v>45</v>
      </c>
      <c r="B33" s="14">
        <v>1</v>
      </c>
      <c r="C33" s="6" t="s">
        <v>70</v>
      </c>
      <c r="D33" s="54" t="s">
        <v>88</v>
      </c>
      <c r="E33" s="44"/>
      <c r="F33" s="44">
        <v>3.5</v>
      </c>
      <c r="G33" s="44">
        <v>3.5</v>
      </c>
      <c r="H33" s="93"/>
      <c r="I33" s="50">
        <v>2</v>
      </c>
      <c r="J33" s="50"/>
    </row>
    <row r="34" spans="1:11" s="45" customFormat="1" ht="14.1" customHeight="1" x14ac:dyDescent="0.2">
      <c r="A34" s="7" t="s">
        <v>21</v>
      </c>
      <c r="B34" s="14">
        <f>B33+1</f>
        <v>2</v>
      </c>
      <c r="C34" s="6"/>
      <c r="D34" s="54">
        <v>1</v>
      </c>
      <c r="E34" s="44"/>
      <c r="F34" s="44">
        <v>2.7</v>
      </c>
      <c r="G34" s="44">
        <v>2.7</v>
      </c>
      <c r="H34" s="93"/>
      <c r="I34" s="51">
        <v>1</v>
      </c>
      <c r="J34" s="51"/>
    </row>
    <row r="35" spans="1:11" s="45" customFormat="1" ht="14.1" customHeight="1" x14ac:dyDescent="0.2">
      <c r="A35" s="133" t="s">
        <v>86</v>
      </c>
      <c r="B35" s="14">
        <f t="shared" ref="B35:B57" si="37">B34+1</f>
        <v>3</v>
      </c>
      <c r="C35" s="6" t="s">
        <v>35</v>
      </c>
      <c r="D35" s="54">
        <v>1</v>
      </c>
      <c r="E35" s="44">
        <v>0.36</v>
      </c>
      <c r="F35" s="44">
        <f t="shared" ref="F35:F42" si="38">E35/D35</f>
        <v>0.36</v>
      </c>
      <c r="G35" s="44">
        <f>Tabla2[[#This Row],[COSTO Unitario Bs.]]*I35</f>
        <v>0.36</v>
      </c>
      <c r="H35" s="93"/>
      <c r="I35" s="50">
        <v>1</v>
      </c>
      <c r="J35" s="50"/>
    </row>
    <row r="36" spans="1:11" s="45" customFormat="1" ht="14.1" customHeight="1" x14ac:dyDescent="0.2">
      <c r="A36" s="7" t="s">
        <v>46</v>
      </c>
      <c r="B36" s="14">
        <f t="shared" si="37"/>
        <v>4</v>
      </c>
      <c r="C36" s="6" t="s">
        <v>35</v>
      </c>
      <c r="D36" s="54">
        <v>1</v>
      </c>
      <c r="E36" s="44">
        <v>0.36</v>
      </c>
      <c r="F36" s="44">
        <f t="shared" si="38"/>
        <v>0.36</v>
      </c>
      <c r="G36" s="44">
        <v>0.216</v>
      </c>
      <c r="H36" s="93"/>
      <c r="I36" s="51">
        <v>1</v>
      </c>
      <c r="J36" s="51"/>
    </row>
    <row r="37" spans="1:11" s="45" customFormat="1" ht="14.1" customHeight="1" x14ac:dyDescent="0.2">
      <c r="A37" s="133" t="s">
        <v>61</v>
      </c>
      <c r="B37" s="14">
        <f t="shared" si="37"/>
        <v>5</v>
      </c>
      <c r="C37" s="6" t="s">
        <v>35</v>
      </c>
      <c r="D37" s="54">
        <v>1</v>
      </c>
      <c r="E37" s="44">
        <v>0</v>
      </c>
      <c r="F37" s="44">
        <f t="shared" si="38"/>
        <v>0</v>
      </c>
      <c r="G37" s="44">
        <f>Tabla2[[#This Row],[COSTO Unitario Bs.]]*I37</f>
        <v>0</v>
      </c>
      <c r="H37" s="93"/>
      <c r="I37" s="50">
        <v>1</v>
      </c>
      <c r="J37" s="50"/>
    </row>
    <row r="38" spans="1:11" s="45" customFormat="1" ht="14.1" customHeight="1" x14ac:dyDescent="0.2">
      <c r="A38" s="15" t="s">
        <v>47</v>
      </c>
      <c r="B38" s="14">
        <f t="shared" si="37"/>
        <v>6</v>
      </c>
      <c r="C38" s="8"/>
      <c r="D38" s="55">
        <v>144</v>
      </c>
      <c r="E38" s="44">
        <v>60</v>
      </c>
      <c r="F38" s="44">
        <f>Tabla2[[#This Row],[COSTO "Unidad de Compra"   Bs.]]/Tabla2[[#This Row],[Cantidad x "unidad de compra"]]</f>
        <v>0.41666666666666669</v>
      </c>
      <c r="G38" s="44">
        <f>Tabla2[[#This Row],[COSTO Unitario Bs.]]*I38</f>
        <v>0.41666666666666669</v>
      </c>
      <c r="H38" s="93">
        <f>3*1</f>
        <v>3</v>
      </c>
      <c r="I38" s="51">
        <v>1</v>
      </c>
      <c r="J38" s="51"/>
    </row>
    <row r="39" spans="1:11" s="45" customFormat="1" ht="14.1" customHeight="1" x14ac:dyDescent="0.2">
      <c r="A39" s="133" t="s">
        <v>27</v>
      </c>
      <c r="B39" s="14">
        <f t="shared" si="37"/>
        <v>7</v>
      </c>
      <c r="C39" s="8" t="s">
        <v>28</v>
      </c>
      <c r="D39" s="55">
        <v>144</v>
      </c>
      <c r="E39" s="46">
        <v>60</v>
      </c>
      <c r="F39" s="44">
        <f t="shared" si="38"/>
        <v>0.41666666666666669</v>
      </c>
      <c r="G39" s="44">
        <f>Tabla2[[#This Row],[COSTO Unitario Bs.]]</f>
        <v>0.41666666666666669</v>
      </c>
      <c r="H39" s="93">
        <f t="shared" ref="H39" si="39">7*1</f>
        <v>7</v>
      </c>
      <c r="I39" s="50">
        <v>7</v>
      </c>
      <c r="J39" s="50"/>
    </row>
    <row r="40" spans="1:11" s="45" customFormat="1" ht="14.1" customHeight="1" x14ac:dyDescent="0.2">
      <c r="A40" s="15" t="s">
        <v>44</v>
      </c>
      <c r="B40" s="14">
        <f t="shared" si="37"/>
        <v>8</v>
      </c>
      <c r="C40" s="6"/>
      <c r="D40" s="54">
        <v>1000</v>
      </c>
      <c r="E40" s="44">
        <v>280</v>
      </c>
      <c r="F40" s="44">
        <f t="shared" si="38"/>
        <v>0.28000000000000003</v>
      </c>
      <c r="G40" s="44">
        <f>F40*I40</f>
        <v>1.1200000000000001</v>
      </c>
      <c r="H40" s="93"/>
      <c r="I40" s="51">
        <v>4</v>
      </c>
      <c r="J40" s="51"/>
    </row>
    <row r="41" spans="1:11" s="45" customFormat="1" ht="14.1" customHeight="1" x14ac:dyDescent="0.2">
      <c r="A41" s="133" t="s">
        <v>52</v>
      </c>
      <c r="B41" s="14">
        <f t="shared" si="37"/>
        <v>9</v>
      </c>
      <c r="C41" s="6" t="s">
        <v>35</v>
      </c>
      <c r="D41" s="54">
        <v>1</v>
      </c>
      <c r="E41" s="44">
        <v>18</v>
      </c>
      <c r="F41" s="44">
        <f>E41/D41</f>
        <v>18</v>
      </c>
      <c r="G41" s="44">
        <f>Tabla2[[#This Row],[COSTO Unitario Bs.]]/J41</f>
        <v>3.6</v>
      </c>
      <c r="H41" s="93"/>
      <c r="I41" s="50">
        <v>1</v>
      </c>
      <c r="J41" s="50">
        <v>5</v>
      </c>
      <c r="K41" s="4">
        <v>1.5E-3</v>
      </c>
    </row>
    <row r="42" spans="1:11" s="45" customFormat="1" ht="14.1" customHeight="1" x14ac:dyDescent="0.2">
      <c r="A42" s="7" t="s">
        <v>53</v>
      </c>
      <c r="B42" s="14">
        <f t="shared" si="37"/>
        <v>10</v>
      </c>
      <c r="C42" s="6" t="s">
        <v>35</v>
      </c>
      <c r="D42" s="54">
        <v>50</v>
      </c>
      <c r="E42" s="44">
        <v>900</v>
      </c>
      <c r="F42" s="44">
        <f t="shared" si="38"/>
        <v>18</v>
      </c>
      <c r="G42" s="44">
        <f>Tabla2[[#This Row],[COSTO Unitario Bs.]]/J42</f>
        <v>1.8</v>
      </c>
      <c r="H42" s="93"/>
      <c r="I42" s="51">
        <v>1</v>
      </c>
      <c r="J42" s="51">
        <v>10</v>
      </c>
      <c r="K42" s="4">
        <v>1.5E-3</v>
      </c>
    </row>
    <row r="43" spans="1:11" s="45" customFormat="1" ht="14.1" customHeight="1" x14ac:dyDescent="0.2">
      <c r="A43" s="89" t="s">
        <v>43</v>
      </c>
      <c r="B43" s="14">
        <f t="shared" si="37"/>
        <v>11</v>
      </c>
      <c r="C43" s="6" t="s">
        <v>48</v>
      </c>
      <c r="D43" s="54">
        <v>200</v>
      </c>
      <c r="E43" s="44">
        <v>80</v>
      </c>
      <c r="F43" s="44">
        <f t="shared" ref="F43:F48" si="40">E43/D43</f>
        <v>0.4</v>
      </c>
      <c r="G43" s="44">
        <f>Tabla2[[#This Row],[COSTO Unitario Bs.]]*I43</f>
        <v>0.4</v>
      </c>
      <c r="H43" s="93"/>
      <c r="I43" s="50">
        <v>1</v>
      </c>
      <c r="J43" s="50"/>
    </row>
    <row r="44" spans="1:11" s="45" customFormat="1" ht="14.1" customHeight="1" x14ac:dyDescent="0.2">
      <c r="A44" s="15" t="s">
        <v>75</v>
      </c>
      <c r="B44" s="14">
        <f t="shared" si="37"/>
        <v>12</v>
      </c>
      <c r="C44" s="6" t="s">
        <v>49</v>
      </c>
      <c r="D44" s="54">
        <v>100</v>
      </c>
      <c r="E44" s="44">
        <v>200</v>
      </c>
      <c r="F44" s="44">
        <f t="shared" si="40"/>
        <v>2</v>
      </c>
      <c r="G44" s="44">
        <f>F44</f>
        <v>2</v>
      </c>
      <c r="H44" s="93"/>
      <c r="I44" s="51"/>
      <c r="J44" s="51"/>
    </row>
    <row r="45" spans="1:11" s="45" customFormat="1" ht="14.1" customHeight="1" x14ac:dyDescent="0.2">
      <c r="A45" s="89" t="s">
        <v>76</v>
      </c>
      <c r="B45" s="14">
        <f t="shared" si="37"/>
        <v>13</v>
      </c>
      <c r="C45" s="6" t="s">
        <v>49</v>
      </c>
      <c r="D45" s="54">
        <v>120</v>
      </c>
      <c r="E45" s="44">
        <v>350</v>
      </c>
      <c r="F45" s="44">
        <f t="shared" si="40"/>
        <v>2.9166666666666665</v>
      </c>
      <c r="G45" s="44">
        <f>F45</f>
        <v>2.9166666666666665</v>
      </c>
      <c r="H45" s="93"/>
      <c r="I45" s="50">
        <v>1</v>
      </c>
      <c r="J45" s="50"/>
    </row>
    <row r="46" spans="1:11" s="45" customFormat="1" ht="14.1" customHeight="1" x14ac:dyDescent="0.2">
      <c r="A46" s="7" t="s">
        <v>59</v>
      </c>
      <c r="B46" s="14">
        <f t="shared" si="37"/>
        <v>14</v>
      </c>
      <c r="C46" s="6" t="s">
        <v>50</v>
      </c>
      <c r="D46" s="54">
        <v>1</v>
      </c>
      <c r="E46" s="44">
        <v>7.5</v>
      </c>
      <c r="F46" s="44">
        <f t="shared" si="40"/>
        <v>7.5</v>
      </c>
      <c r="G46" s="44">
        <f>F46*I46</f>
        <v>11.25</v>
      </c>
      <c r="H46" s="93"/>
      <c r="I46" s="49">
        <v>1.5</v>
      </c>
      <c r="J46" s="51"/>
    </row>
    <row r="47" spans="1:11" s="45" customFormat="1" ht="14.1" customHeight="1" x14ac:dyDescent="0.2">
      <c r="A47" s="133" t="s">
        <v>60</v>
      </c>
      <c r="B47" s="14">
        <f t="shared" si="37"/>
        <v>15</v>
      </c>
      <c r="C47" s="6"/>
      <c r="D47" s="54"/>
      <c r="E47" s="44"/>
      <c r="F47" s="44"/>
      <c r="G47" s="44"/>
      <c r="H47" s="93"/>
      <c r="I47" s="50"/>
      <c r="J47" s="50"/>
    </row>
    <row r="48" spans="1:11" s="45" customFormat="1" ht="14.1" customHeight="1" x14ac:dyDescent="0.2">
      <c r="A48" s="7" t="s">
        <v>51</v>
      </c>
      <c r="B48" s="14">
        <f t="shared" si="37"/>
        <v>16</v>
      </c>
      <c r="C48" s="8" t="s">
        <v>19</v>
      </c>
      <c r="D48" s="55">
        <v>1</v>
      </c>
      <c r="E48" s="46">
        <v>5</v>
      </c>
      <c r="F48" s="46">
        <f t="shared" si="40"/>
        <v>5</v>
      </c>
      <c r="G48" s="44">
        <f>Tabla2[[#This Row],[COSTO Unitario Bs.]]*I48</f>
        <v>5</v>
      </c>
      <c r="H48" s="93"/>
      <c r="I48" s="52">
        <v>1</v>
      </c>
      <c r="J48" s="51"/>
    </row>
    <row r="49" spans="1:10" s="45" customFormat="1" ht="14.1" customHeight="1" x14ac:dyDescent="0.2">
      <c r="A49" s="133" t="s">
        <v>79</v>
      </c>
      <c r="B49" s="14">
        <f t="shared" si="37"/>
        <v>17</v>
      </c>
      <c r="C49" s="6"/>
      <c r="D49" s="54">
        <v>1</v>
      </c>
      <c r="E49" s="44">
        <v>7</v>
      </c>
      <c r="F49" s="44">
        <f>Tabla2[[#This Row],[COSTO "Unidad de Compra"   Bs.]]</f>
        <v>7</v>
      </c>
      <c r="G49" s="44">
        <f>Tabla2[[#This Row],[COSTO Unitario Bs.]]*I49</f>
        <v>7</v>
      </c>
      <c r="H49" s="93"/>
      <c r="I49" s="50">
        <v>1</v>
      </c>
      <c r="J49" s="50"/>
    </row>
    <row r="50" spans="1:10" s="45" customFormat="1" ht="14.1" customHeight="1" x14ac:dyDescent="0.2">
      <c r="A50" s="47" t="s">
        <v>54</v>
      </c>
      <c r="B50" s="14">
        <f t="shared" si="37"/>
        <v>18</v>
      </c>
      <c r="C50" s="6" t="s">
        <v>48</v>
      </c>
      <c r="D50" s="54">
        <v>100</v>
      </c>
      <c r="E50" s="44">
        <v>280</v>
      </c>
      <c r="F50" s="44">
        <f t="shared" ref="F50:F57" si="41">E50/D50</f>
        <v>2.8</v>
      </c>
      <c r="G50" s="44">
        <f>F50*I50</f>
        <v>5.6</v>
      </c>
      <c r="H50" s="93"/>
      <c r="I50" s="51">
        <v>2</v>
      </c>
      <c r="J50" s="51"/>
    </row>
    <row r="51" spans="1:10" s="45" customFormat="1" ht="14.1" customHeight="1" x14ac:dyDescent="0.2">
      <c r="A51" s="134" t="s">
        <v>55</v>
      </c>
      <c r="B51" s="14">
        <f t="shared" si="37"/>
        <v>19</v>
      </c>
      <c r="C51" s="6" t="s">
        <v>56</v>
      </c>
      <c r="D51" s="54">
        <v>25</v>
      </c>
      <c r="E51" s="44">
        <v>38</v>
      </c>
      <c r="F51" s="44">
        <f t="shared" si="41"/>
        <v>1.52</v>
      </c>
      <c r="G51" s="44">
        <f>F51</f>
        <v>1.52</v>
      </c>
      <c r="H51" s="93"/>
      <c r="I51" s="50">
        <v>1</v>
      </c>
      <c r="J51" s="50"/>
    </row>
    <row r="52" spans="1:10" s="45" customFormat="1" ht="14.1" customHeight="1" x14ac:dyDescent="0.2">
      <c r="A52" s="47" t="s">
        <v>57</v>
      </c>
      <c r="B52" s="14">
        <f t="shared" si="37"/>
        <v>20</v>
      </c>
      <c r="C52" s="6" t="s">
        <v>58</v>
      </c>
      <c r="D52" s="54">
        <v>1000</v>
      </c>
      <c r="E52" s="44">
        <v>160</v>
      </c>
      <c r="F52" s="44">
        <f t="shared" si="41"/>
        <v>0.16</v>
      </c>
      <c r="G52" s="44">
        <f>F52*I52</f>
        <v>0.32</v>
      </c>
      <c r="H52" s="93"/>
      <c r="I52" s="51">
        <v>2</v>
      </c>
      <c r="J52" s="51"/>
    </row>
    <row r="53" spans="1:10" s="45" customFormat="1" ht="14.1" customHeight="1" x14ac:dyDescent="0.2">
      <c r="A53" s="133" t="s">
        <v>42</v>
      </c>
      <c r="B53" s="14">
        <f t="shared" si="37"/>
        <v>21</v>
      </c>
      <c r="C53" s="8" t="s">
        <v>26</v>
      </c>
      <c r="D53" s="55">
        <v>100</v>
      </c>
      <c r="E53" s="46">
        <v>22</v>
      </c>
      <c r="F53" s="46">
        <f t="shared" si="41"/>
        <v>0.22</v>
      </c>
      <c r="G53" s="44">
        <f>F53*I53</f>
        <v>0.22</v>
      </c>
      <c r="H53" s="93"/>
      <c r="I53" s="53">
        <v>1</v>
      </c>
      <c r="J53" s="50"/>
    </row>
    <row r="54" spans="1:10" s="45" customFormat="1" ht="14.1" customHeight="1" x14ac:dyDescent="0.2">
      <c r="A54" s="7" t="s">
        <v>29</v>
      </c>
      <c r="B54" s="14">
        <f t="shared" si="37"/>
        <v>22</v>
      </c>
      <c r="C54" s="6" t="s">
        <v>30</v>
      </c>
      <c r="D54" s="55">
        <v>1000</v>
      </c>
      <c r="E54" s="46">
        <v>1400</v>
      </c>
      <c r="F54" s="46">
        <f t="shared" si="41"/>
        <v>1.4</v>
      </c>
      <c r="G54" s="44">
        <f>F54</f>
        <v>1.4</v>
      </c>
      <c r="H54" s="93"/>
      <c r="I54" s="52">
        <v>1</v>
      </c>
      <c r="J54" s="51"/>
    </row>
    <row r="55" spans="1:10" s="45" customFormat="1" ht="14.1" customHeight="1" x14ac:dyDescent="0.2">
      <c r="A55" s="133" t="s">
        <v>31</v>
      </c>
      <c r="B55" s="14">
        <f t="shared" si="37"/>
        <v>23</v>
      </c>
      <c r="C55" s="6" t="s">
        <v>30</v>
      </c>
      <c r="D55" s="55">
        <v>100</v>
      </c>
      <c r="E55" s="46">
        <v>12</v>
      </c>
      <c r="F55" s="46">
        <f t="shared" si="41"/>
        <v>0.12</v>
      </c>
      <c r="G55" s="44">
        <f>F55</f>
        <v>0.12</v>
      </c>
      <c r="H55" s="93"/>
      <c r="I55" s="53">
        <v>1</v>
      </c>
      <c r="J55" s="50"/>
    </row>
    <row r="56" spans="1:10" s="45" customFormat="1" ht="14.1" customHeight="1" x14ac:dyDescent="0.2">
      <c r="A56" s="7" t="s">
        <v>32</v>
      </c>
      <c r="B56" s="14">
        <f t="shared" si="37"/>
        <v>24</v>
      </c>
      <c r="C56" s="6" t="s">
        <v>30</v>
      </c>
      <c r="D56" s="55">
        <v>1000</v>
      </c>
      <c r="E56" s="46">
        <v>500</v>
      </c>
      <c r="F56" s="46">
        <f t="shared" si="41"/>
        <v>0.5</v>
      </c>
      <c r="G56" s="44">
        <f>F56</f>
        <v>0.5</v>
      </c>
      <c r="H56" s="93"/>
      <c r="I56" s="52">
        <v>1</v>
      </c>
      <c r="J56" s="51"/>
    </row>
    <row r="57" spans="1:10" s="45" customFormat="1" ht="14.1" customHeight="1" x14ac:dyDescent="0.2">
      <c r="A57" s="133" t="s">
        <v>33</v>
      </c>
      <c r="B57" s="14">
        <f t="shared" si="37"/>
        <v>25</v>
      </c>
      <c r="C57" s="6" t="s">
        <v>34</v>
      </c>
      <c r="D57" s="55">
        <v>1000</v>
      </c>
      <c r="E57" s="46">
        <v>6</v>
      </c>
      <c r="F57" s="60">
        <f t="shared" si="41"/>
        <v>6.0000000000000001E-3</v>
      </c>
      <c r="G57" s="44">
        <f>Tabla2[[#This Row],[COSTO Unitario Bs.]]*I57</f>
        <v>0.6</v>
      </c>
      <c r="H57" s="93"/>
      <c r="I57" s="50">
        <v>100</v>
      </c>
      <c r="J57" s="50"/>
    </row>
    <row r="58" spans="1:10" s="45" customFormat="1" ht="14.1" customHeight="1" x14ac:dyDescent="0.2">
      <c r="A58" s="7" t="s">
        <v>77</v>
      </c>
      <c r="B58" s="14">
        <v>26</v>
      </c>
      <c r="C58" s="56" t="s">
        <v>19</v>
      </c>
      <c r="D58" s="57"/>
      <c r="E58" s="58"/>
      <c r="F58" s="111">
        <v>3.5000000000000003E-2</v>
      </c>
      <c r="G58" s="59">
        <f>F58*130</f>
        <v>4.5500000000000007</v>
      </c>
      <c r="H58" s="93"/>
      <c r="I58" s="51" t="s">
        <v>109</v>
      </c>
      <c r="J58" s="51"/>
    </row>
    <row r="59" spans="1:10" s="45" customFormat="1" ht="14.1" customHeight="1" x14ac:dyDescent="0.2">
      <c r="A59" s="133" t="s">
        <v>78</v>
      </c>
      <c r="B59" s="14">
        <v>27</v>
      </c>
      <c r="C59" s="56" t="s">
        <v>19</v>
      </c>
      <c r="D59" s="57"/>
      <c r="E59" s="58"/>
      <c r="F59" s="111">
        <v>5.5E-2</v>
      </c>
      <c r="G59" s="59">
        <f>F59*60</f>
        <v>3.3</v>
      </c>
      <c r="H59" s="93"/>
      <c r="I59" s="50" t="s">
        <v>110</v>
      </c>
      <c r="J59" s="50"/>
    </row>
    <row r="60" spans="1:10" s="45" customFormat="1" ht="14.1" customHeight="1" x14ac:dyDescent="0.2">
      <c r="A60" s="7" t="s">
        <v>91</v>
      </c>
      <c r="B60" s="14">
        <v>28</v>
      </c>
      <c r="C60" s="56" t="s">
        <v>19</v>
      </c>
      <c r="D60" s="57">
        <v>1</v>
      </c>
      <c r="E60" s="58">
        <v>5</v>
      </c>
      <c r="F60" s="58">
        <f t="shared" ref="F60:F63" si="42">E60/D60</f>
        <v>5</v>
      </c>
      <c r="G60" s="59">
        <f t="shared" ref="G60:G63" si="43">F60</f>
        <v>5</v>
      </c>
      <c r="H60" s="93"/>
      <c r="I60" s="51">
        <v>1</v>
      </c>
      <c r="J60" s="51"/>
    </row>
    <row r="61" spans="1:10" s="45" customFormat="1" ht="14.1" customHeight="1" x14ac:dyDescent="0.2">
      <c r="A61" s="133" t="s">
        <v>92</v>
      </c>
      <c r="B61" s="14">
        <v>29</v>
      </c>
      <c r="C61" s="56" t="s">
        <v>19</v>
      </c>
      <c r="D61" s="57">
        <v>1</v>
      </c>
      <c r="E61" s="58">
        <v>7</v>
      </c>
      <c r="F61" s="58">
        <f t="shared" si="42"/>
        <v>7</v>
      </c>
      <c r="G61" s="59">
        <f t="shared" si="43"/>
        <v>7</v>
      </c>
      <c r="H61" s="93"/>
      <c r="I61" s="53">
        <v>1</v>
      </c>
      <c r="J61" s="50"/>
    </row>
    <row r="62" spans="1:10" s="45" customFormat="1" ht="14.1" customHeight="1" x14ac:dyDescent="0.2">
      <c r="A62" s="100" t="s">
        <v>94</v>
      </c>
      <c r="B62" s="99">
        <v>30</v>
      </c>
      <c r="C62" s="84" t="s">
        <v>19</v>
      </c>
      <c r="D62" s="57">
        <v>1</v>
      </c>
      <c r="E62" s="58">
        <v>0.8</v>
      </c>
      <c r="F62" s="58">
        <f t="shared" si="42"/>
        <v>0.8</v>
      </c>
      <c r="G62" s="58">
        <f t="shared" si="43"/>
        <v>0.8</v>
      </c>
      <c r="H62" s="93">
        <v>1</v>
      </c>
      <c r="I62" s="52"/>
      <c r="J62" s="51"/>
    </row>
    <row r="63" spans="1:10" ht="14.1" customHeight="1" x14ac:dyDescent="0.2">
      <c r="A63" s="95" t="s">
        <v>95</v>
      </c>
      <c r="B63" s="94">
        <v>31</v>
      </c>
      <c r="C63" s="53" t="s">
        <v>19</v>
      </c>
      <c r="D63" s="96">
        <v>1</v>
      </c>
      <c r="E63" s="97">
        <v>0.3</v>
      </c>
      <c r="F63" s="97">
        <f t="shared" si="42"/>
        <v>0.3</v>
      </c>
      <c r="G63" s="97">
        <f t="shared" si="43"/>
        <v>0.3</v>
      </c>
      <c r="H63" s="98">
        <v>1</v>
      </c>
      <c r="I63" s="53"/>
      <c r="J63" s="50"/>
    </row>
    <row r="64" spans="1:10" ht="14.1" customHeight="1" x14ac:dyDescent="0.2">
      <c r="A64" s="100" t="s">
        <v>93</v>
      </c>
      <c r="B64" s="99">
        <f>B63+1</f>
        <v>32</v>
      </c>
      <c r="C64" s="52" t="s">
        <v>19</v>
      </c>
      <c r="D64" s="55">
        <v>1</v>
      </c>
      <c r="E64" s="46">
        <v>8</v>
      </c>
      <c r="F64" s="46">
        <v>8</v>
      </c>
      <c r="G64" s="46">
        <v>8</v>
      </c>
      <c r="H64" s="93">
        <v>1</v>
      </c>
      <c r="I64" s="52"/>
      <c r="J64" s="51"/>
    </row>
    <row r="65" spans="1:11" ht="14.1" customHeight="1" x14ac:dyDescent="0.2">
      <c r="A65" s="95" t="s">
        <v>100</v>
      </c>
      <c r="B65" s="106">
        <v>33</v>
      </c>
      <c r="C65" s="50" t="s">
        <v>35</v>
      </c>
      <c r="D65" s="96">
        <v>50</v>
      </c>
      <c r="E65" s="97">
        <v>900</v>
      </c>
      <c r="F65" s="97">
        <f>E65/D65</f>
        <v>18</v>
      </c>
      <c r="G65" s="107">
        <f>500*K65</f>
        <v>0.75</v>
      </c>
      <c r="H65" s="98">
        <f>7*1</f>
        <v>7</v>
      </c>
      <c r="I65" s="50" t="s">
        <v>102</v>
      </c>
      <c r="J65" s="50"/>
      <c r="K65" s="4">
        <v>1.5E-3</v>
      </c>
    </row>
    <row r="66" spans="1:11" ht="14.1" customHeight="1" x14ac:dyDescent="0.2">
      <c r="A66" s="100" t="s">
        <v>104</v>
      </c>
      <c r="B66" s="108">
        <v>34</v>
      </c>
      <c r="C66" s="51" t="s">
        <v>35</v>
      </c>
      <c r="D66" s="55">
        <v>1</v>
      </c>
      <c r="E66" s="46">
        <v>0.36</v>
      </c>
      <c r="F66" s="46">
        <f>E66/D66</f>
        <v>0.36</v>
      </c>
      <c r="G66" s="44">
        <f>F66</f>
        <v>0.36</v>
      </c>
      <c r="H66" s="93"/>
      <c r="I66" s="51" t="s">
        <v>107</v>
      </c>
      <c r="J66" s="51"/>
    </row>
    <row r="67" spans="1:11" ht="14.1" customHeight="1" x14ac:dyDescent="0.2">
      <c r="A67" s="95" t="s">
        <v>105</v>
      </c>
      <c r="B67" s="106">
        <v>35</v>
      </c>
      <c r="C67" s="50" t="s">
        <v>106</v>
      </c>
      <c r="D67" s="96">
        <v>1</v>
      </c>
      <c r="E67" s="97">
        <v>0.2</v>
      </c>
      <c r="F67" s="97">
        <f>E67/D67</f>
        <v>0.2</v>
      </c>
      <c r="G67" s="107">
        <f>F67</f>
        <v>0.2</v>
      </c>
      <c r="H67" s="98"/>
      <c r="I67" s="50"/>
      <c r="J67" s="50"/>
    </row>
    <row r="68" spans="1:11" ht="14.1" customHeight="1" x14ac:dyDescent="0.2">
      <c r="A68" s="135" t="s">
        <v>108</v>
      </c>
      <c r="B68" s="108">
        <v>36</v>
      </c>
      <c r="C68" s="51" t="s">
        <v>19</v>
      </c>
      <c r="D68" s="55">
        <v>1</v>
      </c>
      <c r="E68" s="46"/>
      <c r="F68" s="115">
        <v>1.5E-3</v>
      </c>
      <c r="G68" s="44">
        <f>Tabla2[[#This Row],[COSTO Unitario Bs.]]*500</f>
        <v>0.75</v>
      </c>
      <c r="H68" s="93"/>
      <c r="I68" s="51" t="s">
        <v>102</v>
      </c>
      <c r="J68" s="51"/>
      <c r="K68" s="4">
        <v>1.5E-3</v>
      </c>
    </row>
    <row r="69" spans="1:11" ht="14.1" customHeight="1" x14ac:dyDescent="0.2">
      <c r="A69" s="141" t="s">
        <v>145</v>
      </c>
      <c r="B69" s="94">
        <v>37</v>
      </c>
      <c r="C69" s="53" t="s">
        <v>19</v>
      </c>
      <c r="D69" s="96">
        <v>1</v>
      </c>
      <c r="E69" s="97"/>
      <c r="F69" s="97">
        <f>E69/D69</f>
        <v>0</v>
      </c>
      <c r="G69" s="97">
        <f>F69</f>
        <v>0</v>
      </c>
      <c r="H69" s="98"/>
      <c r="I69" s="53"/>
      <c r="J69" s="50"/>
    </row>
    <row r="70" spans="1:11" ht="14.1" customHeight="1" x14ac:dyDescent="0.2">
      <c r="A70" s="100" t="s">
        <v>146</v>
      </c>
      <c r="B70" s="108">
        <v>38</v>
      </c>
      <c r="C70" s="6" t="s">
        <v>19</v>
      </c>
      <c r="D70" s="55">
        <v>1</v>
      </c>
      <c r="E70" s="46"/>
      <c r="F70" s="46">
        <f>E70/D70</f>
        <v>0</v>
      </c>
      <c r="G70" s="44">
        <f>F70</f>
        <v>0</v>
      </c>
      <c r="H70" s="93"/>
    </row>
    <row r="71" spans="1:11" x14ac:dyDescent="0.2">
      <c r="A71" s="100"/>
      <c r="B71" s="108"/>
      <c r="C71" s="6"/>
      <c r="D71" s="55"/>
      <c r="E71" s="46"/>
      <c r="F71" s="46"/>
      <c r="G71" s="44"/>
      <c r="H71" s="93"/>
    </row>
    <row r="72" spans="1:11" x14ac:dyDescent="0.2">
      <c r="A72" s="100"/>
      <c r="B72" s="108"/>
      <c r="C72" s="6"/>
      <c r="D72" s="55"/>
      <c r="E72" s="46"/>
      <c r="F72" s="46"/>
      <c r="G72" s="44"/>
      <c r="H72" s="93"/>
    </row>
    <row r="73" spans="1:11" x14ac:dyDescent="0.2">
      <c r="D73" s="109">
        <f>$G$33</f>
        <v>3.5</v>
      </c>
    </row>
    <row r="74" spans="1:11" x14ac:dyDescent="0.2">
      <c r="D74" s="109">
        <f>$G$34</f>
        <v>2.7</v>
      </c>
    </row>
    <row r="75" spans="1:11" x14ac:dyDescent="0.2">
      <c r="D75" s="109">
        <f>$G$35</f>
        <v>0.36</v>
      </c>
    </row>
    <row r="76" spans="1:11" x14ac:dyDescent="0.2">
      <c r="D76" s="109">
        <f>$G$36</f>
        <v>0.216</v>
      </c>
    </row>
    <row r="77" spans="1:11" x14ac:dyDescent="0.2">
      <c r="D77" s="109">
        <f>$G$37</f>
        <v>0</v>
      </c>
    </row>
    <row r="78" spans="1:11" x14ac:dyDescent="0.2">
      <c r="D78" s="109">
        <f>$G$38</f>
        <v>0.41666666666666669</v>
      </c>
    </row>
    <row r="79" spans="1:11" x14ac:dyDescent="0.2">
      <c r="D79" s="109">
        <f>$G$39</f>
        <v>0.41666666666666669</v>
      </c>
    </row>
    <row r="80" spans="1:11" x14ac:dyDescent="0.2">
      <c r="D80" s="109">
        <f>$G$40</f>
        <v>1.1200000000000001</v>
      </c>
    </row>
    <row r="81" spans="4:4" x14ac:dyDescent="0.2">
      <c r="D81" s="109">
        <f>$G$41</f>
        <v>3.6</v>
      </c>
    </row>
    <row r="82" spans="4:4" x14ac:dyDescent="0.2">
      <c r="D82" s="109">
        <f>$G$42</f>
        <v>1.8</v>
      </c>
    </row>
    <row r="83" spans="4:4" x14ac:dyDescent="0.2">
      <c r="D83" s="109">
        <f>$G$43</f>
        <v>0.4</v>
      </c>
    </row>
    <row r="84" spans="4:4" x14ac:dyDescent="0.2">
      <c r="D84" s="109">
        <f>$G$44</f>
        <v>2</v>
      </c>
    </row>
    <row r="85" spans="4:4" x14ac:dyDescent="0.2">
      <c r="D85" s="109">
        <f>$G$45</f>
        <v>2.9166666666666665</v>
      </c>
    </row>
    <row r="86" spans="4:4" x14ac:dyDescent="0.2">
      <c r="D86" s="109">
        <f>$G$46</f>
        <v>11.25</v>
      </c>
    </row>
    <row r="87" spans="4:4" x14ac:dyDescent="0.2">
      <c r="D87" s="109">
        <f>$G$47</f>
        <v>0</v>
      </c>
    </row>
    <row r="88" spans="4:4" x14ac:dyDescent="0.2">
      <c r="D88" s="109">
        <f>$G$48</f>
        <v>5</v>
      </c>
    </row>
    <row r="89" spans="4:4" x14ac:dyDescent="0.2">
      <c r="D89" s="109">
        <f>$G$49</f>
        <v>7</v>
      </c>
    </row>
    <row r="90" spans="4:4" x14ac:dyDescent="0.2">
      <c r="D90" s="109">
        <f>$G$50</f>
        <v>5.6</v>
      </c>
    </row>
    <row r="91" spans="4:4" x14ac:dyDescent="0.2">
      <c r="D91" s="109">
        <f>$G$51</f>
        <v>1.52</v>
      </c>
    </row>
    <row r="92" spans="4:4" x14ac:dyDescent="0.2">
      <c r="D92" s="109">
        <f>$G$52</f>
        <v>0.32</v>
      </c>
    </row>
    <row r="93" spans="4:4" x14ac:dyDescent="0.2">
      <c r="D93" s="109">
        <f>$G$53</f>
        <v>0.22</v>
      </c>
    </row>
    <row r="94" spans="4:4" x14ac:dyDescent="0.2">
      <c r="D94" s="109">
        <f>$G$54</f>
        <v>1.4</v>
      </c>
    </row>
    <row r="95" spans="4:4" x14ac:dyDescent="0.2">
      <c r="D95" s="109">
        <f>$G$55</f>
        <v>0.12</v>
      </c>
    </row>
    <row r="96" spans="4:4" x14ac:dyDescent="0.2">
      <c r="D96" s="109">
        <f>$G$56</f>
        <v>0.5</v>
      </c>
    </row>
    <row r="97" spans="4:4" x14ac:dyDescent="0.2">
      <c r="D97" s="109">
        <f>$G$57</f>
        <v>0.6</v>
      </c>
    </row>
    <row r="98" spans="4:4" x14ac:dyDescent="0.2">
      <c r="D98" s="109">
        <f>$G$58</f>
        <v>4.5500000000000007</v>
      </c>
    </row>
    <row r="99" spans="4:4" x14ac:dyDescent="0.2">
      <c r="D99" s="109">
        <f>$G$59</f>
        <v>3.3</v>
      </c>
    </row>
    <row r="100" spans="4:4" x14ac:dyDescent="0.2">
      <c r="D100" s="109">
        <f>$G$60</f>
        <v>5</v>
      </c>
    </row>
    <row r="101" spans="4:4" x14ac:dyDescent="0.2">
      <c r="D101" s="109">
        <f>$G$61</f>
        <v>7</v>
      </c>
    </row>
    <row r="102" spans="4:4" x14ac:dyDescent="0.2">
      <c r="D102" s="109">
        <f>$G$62</f>
        <v>0.8</v>
      </c>
    </row>
    <row r="103" spans="4:4" x14ac:dyDescent="0.2">
      <c r="D103" s="109">
        <f>$G$63</f>
        <v>0.3</v>
      </c>
    </row>
    <row r="104" spans="4:4" x14ac:dyDescent="0.2">
      <c r="D104" s="109">
        <f>$G$64</f>
        <v>8</v>
      </c>
    </row>
    <row r="105" spans="4:4" x14ac:dyDescent="0.2">
      <c r="D105" s="109">
        <f>$G$65</f>
        <v>0.75</v>
      </c>
    </row>
    <row r="106" spans="4:4" x14ac:dyDescent="0.2">
      <c r="D106" s="109">
        <f>$G$66</f>
        <v>0.36</v>
      </c>
    </row>
    <row r="107" spans="4:4" x14ac:dyDescent="0.2">
      <c r="D107" s="109">
        <f>$G$67</f>
        <v>0.2</v>
      </c>
    </row>
    <row r="108" spans="4:4" x14ac:dyDescent="0.2">
      <c r="D108" s="109"/>
    </row>
    <row r="109" spans="4:4" x14ac:dyDescent="0.2">
      <c r="D109" s="109"/>
    </row>
    <row r="110" spans="4:4" x14ac:dyDescent="0.2">
      <c r="D110" s="109"/>
    </row>
    <row r="111" spans="4:4" x14ac:dyDescent="0.2">
      <c r="D111" s="109"/>
    </row>
    <row r="112" spans="4:4" x14ac:dyDescent="0.2">
      <c r="D112" s="109"/>
    </row>
    <row r="113" spans="4:4" x14ac:dyDescent="0.2">
      <c r="D113" s="109"/>
    </row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33" orientation="landscape" r:id="rId1"/>
  <headerFooter alignWithMargins="0"/>
  <ignoredErrors>
    <ignoredError sqref="B10 B12" numberStoredAsText="1"/>
  </ignoredError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M25"/>
  <sheetViews>
    <sheetView zoomScaleNormal="100" workbookViewId="0">
      <selection activeCell="H14" sqref="H14"/>
    </sheetView>
  </sheetViews>
  <sheetFormatPr baseColWidth="10" defaultRowHeight="12.75" x14ac:dyDescent="0.2"/>
  <cols>
    <col min="1" max="1" width="7.85546875" customWidth="1"/>
    <col min="2" max="2" width="54" customWidth="1"/>
    <col min="3" max="3" width="11.5703125" customWidth="1"/>
    <col min="4" max="4" width="11.42578125" customWidth="1"/>
    <col min="5" max="5" width="8.7109375" customWidth="1"/>
    <col min="6" max="6" width="11.85546875" customWidth="1"/>
    <col min="7" max="7" width="13" customWidth="1"/>
    <col min="8" max="8" width="12.42578125" customWidth="1"/>
    <col min="9" max="9" width="11" customWidth="1"/>
  </cols>
  <sheetData>
    <row r="1" spans="1:12" s="4" customFormat="1" ht="15" thickBot="1" x14ac:dyDescent="0.25">
      <c r="A1" s="3" t="s">
        <v>16</v>
      </c>
    </row>
    <row r="2" spans="1:12" s="4" customFormat="1" ht="71.25" customHeight="1" thickBot="1" x14ac:dyDescent="0.25">
      <c r="A2" s="21" t="s">
        <v>15</v>
      </c>
      <c r="B2" s="21" t="s">
        <v>17</v>
      </c>
      <c r="C2" s="28" t="s">
        <v>66</v>
      </c>
      <c r="D2" s="28" t="s">
        <v>18</v>
      </c>
      <c r="E2" s="28" t="s">
        <v>83</v>
      </c>
      <c r="F2" s="28" t="s">
        <v>67</v>
      </c>
      <c r="G2" s="28" t="s">
        <v>68</v>
      </c>
      <c r="H2" s="28" t="s">
        <v>64</v>
      </c>
      <c r="I2" s="28" t="s">
        <v>84</v>
      </c>
      <c r="J2" s="28" t="s">
        <v>167</v>
      </c>
      <c r="K2" s="75" t="s">
        <v>85</v>
      </c>
    </row>
    <row r="3" spans="1:12" s="4" customFormat="1" ht="18.75" customHeight="1" thickBot="1" x14ac:dyDescent="0.25">
      <c r="A3" s="68">
        <v>1</v>
      </c>
      <c r="B3" s="68" t="s">
        <v>82</v>
      </c>
      <c r="C3" s="41">
        <f>1000/F3/D3</f>
        <v>3.0165912518853699</v>
      </c>
      <c r="D3" s="102">
        <v>1.7</v>
      </c>
      <c r="E3" s="39" t="s">
        <v>65</v>
      </c>
      <c r="F3" s="104">
        <v>195</v>
      </c>
      <c r="G3" s="39">
        <f t="shared" ref="G3:G8" si="0">F3*D3</f>
        <v>331.5</v>
      </c>
      <c r="H3" s="102">
        <v>97</v>
      </c>
      <c r="I3" s="72">
        <f>IF($E3="kilo",$H3,(($H3*1000)/$G3))</f>
        <v>97</v>
      </c>
      <c r="J3" s="166">
        <f>I3/1000</f>
        <v>9.7000000000000003E-2</v>
      </c>
    </row>
    <row r="4" spans="1:12" s="4" customFormat="1" ht="18.75" customHeight="1" thickBot="1" x14ac:dyDescent="0.25">
      <c r="A4" s="40">
        <f t="shared" ref="A4:A9" si="1">A3+1</f>
        <v>2</v>
      </c>
      <c r="B4" s="40" t="s">
        <v>20</v>
      </c>
      <c r="C4" s="74">
        <f t="shared" ref="C4:C11" si="2">1000/F4/D4</f>
        <v>3.0030030030030028</v>
      </c>
      <c r="D4" s="103">
        <v>1.8</v>
      </c>
      <c r="E4" s="70" t="s">
        <v>65</v>
      </c>
      <c r="F4" s="105">
        <v>185</v>
      </c>
      <c r="G4" s="70">
        <f t="shared" si="0"/>
        <v>333</v>
      </c>
      <c r="H4" s="103">
        <v>97</v>
      </c>
      <c r="I4" s="73">
        <f t="shared" ref="I4:I14" si="3">IF($E4="kilo",$H4,(($H4*1000)/$G4))</f>
        <v>97</v>
      </c>
      <c r="J4" s="167">
        <f t="shared" ref="J4:J14" si="4">I4/1000</f>
        <v>9.7000000000000003E-2</v>
      </c>
    </row>
    <row r="5" spans="1:12" s="4" customFormat="1" ht="18.75" customHeight="1" thickBot="1" x14ac:dyDescent="0.25">
      <c r="A5" s="68">
        <f t="shared" si="1"/>
        <v>3</v>
      </c>
      <c r="B5" s="68" t="s">
        <v>36</v>
      </c>
      <c r="C5" s="41">
        <f t="shared" si="2"/>
        <v>3.2520325203252032</v>
      </c>
      <c r="D5" s="102">
        <v>1.5</v>
      </c>
      <c r="E5" s="39" t="s">
        <v>35</v>
      </c>
      <c r="F5" s="104">
        <v>205</v>
      </c>
      <c r="G5" s="39">
        <f t="shared" si="0"/>
        <v>307.5</v>
      </c>
      <c r="H5" s="102">
        <v>35</v>
      </c>
      <c r="I5" s="72">
        <f t="shared" si="3"/>
        <v>113.82113821138212</v>
      </c>
      <c r="J5" s="166">
        <f t="shared" si="4"/>
        <v>0.11382113821138212</v>
      </c>
    </row>
    <row r="6" spans="1:12" s="4" customFormat="1" ht="18.75" customHeight="1" thickBot="1" x14ac:dyDescent="0.25">
      <c r="A6" s="40">
        <f t="shared" si="1"/>
        <v>4</v>
      </c>
      <c r="B6" s="40" t="s">
        <v>37</v>
      </c>
      <c r="C6" s="74">
        <f>1000/F6/D6</f>
        <v>5.8997050147492622</v>
      </c>
      <c r="D6" s="103">
        <v>1.5</v>
      </c>
      <c r="E6" s="70" t="s">
        <v>35</v>
      </c>
      <c r="F6" s="105">
        <v>113</v>
      </c>
      <c r="G6" s="70">
        <f t="shared" si="0"/>
        <v>169.5</v>
      </c>
      <c r="H6" s="103">
        <v>25</v>
      </c>
      <c r="I6" s="73">
        <f t="shared" si="3"/>
        <v>147.49262536873155</v>
      </c>
      <c r="J6" s="167">
        <f t="shared" si="4"/>
        <v>0.14749262536873156</v>
      </c>
      <c r="L6" s="4">
        <v>1000</v>
      </c>
    </row>
    <row r="7" spans="1:12" s="4" customFormat="1" ht="18.75" customHeight="1" thickBot="1" x14ac:dyDescent="0.25">
      <c r="A7" s="68">
        <f t="shared" si="1"/>
        <v>5</v>
      </c>
      <c r="B7" s="37" t="s">
        <v>90</v>
      </c>
      <c r="C7" s="41">
        <f t="shared" si="2"/>
        <v>3.8051750380517504</v>
      </c>
      <c r="D7" s="102">
        <v>1.8</v>
      </c>
      <c r="E7" s="39" t="s">
        <v>35</v>
      </c>
      <c r="F7" s="104">
        <v>146</v>
      </c>
      <c r="G7" s="39">
        <f t="shared" si="0"/>
        <v>262.8</v>
      </c>
      <c r="H7" s="102">
        <v>16</v>
      </c>
      <c r="I7" s="72">
        <f t="shared" si="3"/>
        <v>60.882800608828006</v>
      </c>
      <c r="J7" s="166">
        <f t="shared" si="4"/>
        <v>6.088280060882801E-2</v>
      </c>
      <c r="L7" s="4">
        <v>182</v>
      </c>
    </row>
    <row r="8" spans="1:12" s="4" customFormat="1" ht="18.75" customHeight="1" thickBot="1" x14ac:dyDescent="0.25">
      <c r="A8" s="40">
        <f t="shared" si="1"/>
        <v>6</v>
      </c>
      <c r="B8" s="40" t="s">
        <v>38</v>
      </c>
      <c r="C8" s="74">
        <f t="shared" si="2"/>
        <v>1.9201228878648233</v>
      </c>
      <c r="D8" s="103">
        <v>1.4</v>
      </c>
      <c r="E8" s="70" t="s">
        <v>65</v>
      </c>
      <c r="F8" s="105">
        <v>372</v>
      </c>
      <c r="G8" s="70">
        <f t="shared" si="0"/>
        <v>520.79999999999995</v>
      </c>
      <c r="H8" s="103">
        <v>120</v>
      </c>
      <c r="I8" s="73">
        <f t="shared" si="3"/>
        <v>120</v>
      </c>
      <c r="J8" s="167">
        <f t="shared" si="4"/>
        <v>0.12</v>
      </c>
      <c r="L8" s="36">
        <f>L7*I6/L6</f>
        <v>26.843657817109143</v>
      </c>
    </row>
    <row r="9" spans="1:12" s="4" customFormat="1" ht="18.75" customHeight="1" thickBot="1" x14ac:dyDescent="0.25">
      <c r="A9" s="68">
        <f t="shared" si="1"/>
        <v>7</v>
      </c>
      <c r="B9" s="68" t="s">
        <v>39</v>
      </c>
      <c r="C9" s="41">
        <f t="shared" si="2"/>
        <v>5.7471264367816097</v>
      </c>
      <c r="D9" s="102">
        <v>1.5</v>
      </c>
      <c r="E9" s="39" t="s">
        <v>35</v>
      </c>
      <c r="F9" s="104">
        <v>116</v>
      </c>
      <c r="G9" s="39">
        <f>F9*D9</f>
        <v>174</v>
      </c>
      <c r="H9" s="102">
        <v>28</v>
      </c>
      <c r="I9" s="72">
        <f t="shared" si="3"/>
        <v>160.91954022988506</v>
      </c>
      <c r="J9" s="166">
        <f t="shared" si="4"/>
        <v>0.16091954022988506</v>
      </c>
    </row>
    <row r="10" spans="1:12" ht="18.75" customHeight="1" thickBot="1" x14ac:dyDescent="0.25">
      <c r="A10" s="40">
        <v>8</v>
      </c>
      <c r="B10" s="40" t="s">
        <v>168</v>
      </c>
      <c r="C10" s="74">
        <f t="shared" si="2"/>
        <v>3.2679738562091507</v>
      </c>
      <c r="D10" s="103">
        <v>1.5</v>
      </c>
      <c r="E10" s="70" t="s">
        <v>35</v>
      </c>
      <c r="F10" s="105">
        <v>204</v>
      </c>
      <c r="G10" s="70">
        <f>F10*D10</f>
        <v>306</v>
      </c>
      <c r="H10" s="103">
        <v>60</v>
      </c>
      <c r="I10" s="73">
        <f t="shared" si="3"/>
        <v>196.07843137254903</v>
      </c>
      <c r="J10" s="167">
        <f t="shared" si="4"/>
        <v>0.19607843137254904</v>
      </c>
    </row>
    <row r="11" spans="1:12" ht="18.75" customHeight="1" thickBot="1" x14ac:dyDescent="0.25">
      <c r="A11" s="68">
        <v>9</v>
      </c>
      <c r="B11" s="68" t="s">
        <v>96</v>
      </c>
      <c r="C11" s="41">
        <f t="shared" si="2"/>
        <v>1.7362316827557469</v>
      </c>
      <c r="D11" s="102">
        <v>1.54</v>
      </c>
      <c r="E11" s="39" t="s">
        <v>35</v>
      </c>
      <c r="F11" s="104">
        <v>374</v>
      </c>
      <c r="G11" s="39">
        <f>F11*D11</f>
        <v>575.96</v>
      </c>
      <c r="H11" s="102">
        <v>70</v>
      </c>
      <c r="I11" s="72">
        <f t="shared" si="3"/>
        <v>121.53621779290228</v>
      </c>
      <c r="J11" s="166">
        <f t="shared" si="4"/>
        <v>0.12153621779290227</v>
      </c>
    </row>
    <row r="12" spans="1:12" ht="18.75" customHeight="1" thickBot="1" x14ac:dyDescent="0.25">
      <c r="A12" s="40">
        <v>10</v>
      </c>
      <c r="B12" s="40" t="s">
        <v>99</v>
      </c>
      <c r="C12" s="74">
        <f t="shared" ref="C12:C14" si="5">1000/F12/D12</f>
        <v>9.1324200913242013</v>
      </c>
      <c r="D12" s="103">
        <v>1.5</v>
      </c>
      <c r="E12" s="70" t="s">
        <v>35</v>
      </c>
      <c r="F12" s="105">
        <v>73</v>
      </c>
      <c r="G12" s="70">
        <f t="shared" ref="G12:G14" si="6">F12*D12</f>
        <v>109.5</v>
      </c>
      <c r="H12" s="103">
        <v>7.5</v>
      </c>
      <c r="I12" s="73">
        <f t="shared" si="3"/>
        <v>68.493150684931507</v>
      </c>
      <c r="J12" s="167">
        <f t="shared" si="4"/>
        <v>6.8493150684931503E-2</v>
      </c>
    </row>
    <row r="13" spans="1:12" ht="18.75" customHeight="1" thickBot="1" x14ac:dyDescent="0.25">
      <c r="A13" s="68">
        <v>11</v>
      </c>
      <c r="B13" s="37" t="s">
        <v>97</v>
      </c>
      <c r="C13" s="41">
        <f t="shared" si="5"/>
        <v>3.7878787878787876</v>
      </c>
      <c r="D13" s="102">
        <v>1.5</v>
      </c>
      <c r="E13" s="39" t="s">
        <v>35</v>
      </c>
      <c r="F13" s="104">
        <v>176</v>
      </c>
      <c r="G13" s="39">
        <f t="shared" si="6"/>
        <v>264</v>
      </c>
      <c r="H13" s="102">
        <v>18</v>
      </c>
      <c r="I13" s="72">
        <f t="shared" si="3"/>
        <v>68.181818181818187</v>
      </c>
      <c r="J13" s="166">
        <f t="shared" si="4"/>
        <v>6.8181818181818191E-2</v>
      </c>
    </row>
    <row r="14" spans="1:12" ht="18.75" customHeight="1" thickBot="1" x14ac:dyDescent="0.25">
      <c r="A14" s="40">
        <v>12</v>
      </c>
      <c r="B14" s="40" t="s">
        <v>98</v>
      </c>
      <c r="C14" s="74">
        <f t="shared" si="5"/>
        <v>2.5641025641025643</v>
      </c>
      <c r="D14" s="103">
        <v>1.5</v>
      </c>
      <c r="E14" s="70" t="s">
        <v>35</v>
      </c>
      <c r="F14" s="105">
        <v>260</v>
      </c>
      <c r="G14" s="70">
        <f t="shared" si="6"/>
        <v>390</v>
      </c>
      <c r="H14" s="103">
        <v>18</v>
      </c>
      <c r="I14" s="73">
        <f t="shared" si="3"/>
        <v>46.153846153846153</v>
      </c>
      <c r="J14" s="167">
        <f t="shared" si="4"/>
        <v>4.6153846153846156E-2</v>
      </c>
    </row>
    <row r="15" spans="1:12" ht="13.5" thickBot="1" x14ac:dyDescent="0.25">
      <c r="C15" s="41"/>
      <c r="D15" s="71"/>
      <c r="E15" s="39"/>
      <c r="F15" s="69"/>
      <c r="G15" s="39"/>
      <c r="H15" s="71"/>
      <c r="I15" s="72"/>
    </row>
    <row r="16" spans="1:12" x14ac:dyDescent="0.2">
      <c r="D16" s="19"/>
      <c r="F16" s="35"/>
      <c r="G16" s="19"/>
    </row>
    <row r="17" spans="4:13" x14ac:dyDescent="0.2">
      <c r="D17" s="19"/>
      <c r="F17" s="35"/>
      <c r="H17" s="31"/>
    </row>
    <row r="18" spans="4:13" ht="20.25" customHeight="1" x14ac:dyDescent="0.2">
      <c r="F18" s="35"/>
      <c r="M18" s="32"/>
    </row>
    <row r="19" spans="4:13" x14ac:dyDescent="0.2">
      <c r="D19" s="19"/>
      <c r="F19" s="35"/>
    </row>
    <row r="20" spans="4:13" x14ac:dyDescent="0.2">
      <c r="D20" s="19"/>
      <c r="F20" s="35"/>
    </row>
    <row r="21" spans="4:13" x14ac:dyDescent="0.2">
      <c r="D21" s="19"/>
      <c r="E21" s="19"/>
      <c r="F21" s="35"/>
      <c r="H21" s="19"/>
    </row>
    <row r="22" spans="4:13" x14ac:dyDescent="0.2">
      <c r="D22" s="19"/>
      <c r="F22" s="35"/>
      <c r="H22" s="19"/>
    </row>
    <row r="23" spans="4:13" x14ac:dyDescent="0.2">
      <c r="D23" s="19"/>
      <c r="F23" s="35"/>
    </row>
    <row r="24" spans="4:13" x14ac:dyDescent="0.2">
      <c r="D24" s="19"/>
      <c r="F24" s="35"/>
    </row>
    <row r="25" spans="4:13" x14ac:dyDescent="0.2">
      <c r="D25" s="19"/>
      <c r="F25" s="35"/>
    </row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5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E59"/>
  <sheetViews>
    <sheetView topLeftCell="A4" workbookViewId="0">
      <selection activeCell="D4" sqref="D4"/>
    </sheetView>
  </sheetViews>
  <sheetFormatPr baseColWidth="10" defaultRowHeight="12.75" x14ac:dyDescent="0.2"/>
  <cols>
    <col min="1" max="1" width="11.42578125" style="63"/>
    <col min="2" max="2" width="20.85546875" style="63" customWidth="1"/>
    <col min="3" max="5" width="13.7109375" style="64" customWidth="1"/>
  </cols>
  <sheetData>
    <row r="1" spans="1:5" ht="18" customHeight="1" x14ac:dyDescent="0.2">
      <c r="A1" s="216" t="s">
        <v>63</v>
      </c>
      <c r="B1" s="216"/>
      <c r="C1" s="213" t="s">
        <v>173</v>
      </c>
      <c r="D1" s="214"/>
      <c r="E1" s="215"/>
    </row>
    <row r="2" spans="1:5" ht="31.5" customHeight="1" x14ac:dyDescent="0.2">
      <c r="A2" s="62" t="s">
        <v>15</v>
      </c>
      <c r="B2" s="62" t="s">
        <v>0</v>
      </c>
      <c r="C2" s="61" t="s">
        <v>87</v>
      </c>
      <c r="D2" s="61" t="s">
        <v>81</v>
      </c>
      <c r="E2" s="61" t="s">
        <v>178</v>
      </c>
    </row>
    <row r="3" spans="1:5" ht="18" customHeight="1" x14ac:dyDescent="0.2">
      <c r="A3" s="16">
        <v>1</v>
      </c>
      <c r="B3" s="16" t="s">
        <v>1</v>
      </c>
      <c r="C3" s="65">
        <v>45</v>
      </c>
      <c r="D3" s="65">
        <v>50</v>
      </c>
      <c r="E3" s="65">
        <v>55</v>
      </c>
    </row>
    <row r="4" spans="1:5" ht="18" customHeight="1" x14ac:dyDescent="0.2">
      <c r="A4" s="17">
        <v>2</v>
      </c>
      <c r="B4" s="17" t="s">
        <v>2</v>
      </c>
      <c r="C4" s="66">
        <v>18</v>
      </c>
      <c r="D4" s="66">
        <v>21</v>
      </c>
      <c r="E4" s="66">
        <v>25</v>
      </c>
    </row>
    <row r="5" spans="1:5" ht="18" customHeight="1" x14ac:dyDescent="0.2">
      <c r="A5" s="16">
        <v>3</v>
      </c>
      <c r="B5" s="16" t="s">
        <v>138</v>
      </c>
      <c r="C5" s="65">
        <v>19</v>
      </c>
      <c r="D5" s="65">
        <v>22</v>
      </c>
      <c r="E5" s="65">
        <v>26</v>
      </c>
    </row>
    <row r="6" spans="1:5" ht="18" customHeight="1" x14ac:dyDescent="0.2">
      <c r="A6" s="17">
        <v>4</v>
      </c>
      <c r="B6" s="17" t="s">
        <v>3</v>
      </c>
      <c r="C6" s="66">
        <v>3.5</v>
      </c>
      <c r="D6" s="66">
        <v>3.5</v>
      </c>
      <c r="E6" s="66">
        <v>3.5</v>
      </c>
    </row>
    <row r="7" spans="1:5" ht="18" customHeight="1" x14ac:dyDescent="0.2">
      <c r="A7" s="16">
        <v>5</v>
      </c>
      <c r="B7" s="16" t="s">
        <v>5</v>
      </c>
      <c r="C7" s="65">
        <v>18</v>
      </c>
      <c r="D7" s="65">
        <v>21</v>
      </c>
      <c r="E7" s="65">
        <v>25</v>
      </c>
    </row>
    <row r="8" spans="1:5" ht="18" customHeight="1" x14ac:dyDescent="0.2">
      <c r="A8" s="17">
        <v>6</v>
      </c>
      <c r="B8" s="17" t="s">
        <v>6</v>
      </c>
      <c r="C8" s="66">
        <v>18</v>
      </c>
      <c r="D8" s="66">
        <v>21</v>
      </c>
      <c r="E8" s="66">
        <v>25</v>
      </c>
    </row>
    <row r="9" spans="1:5" ht="18" customHeight="1" x14ac:dyDescent="0.2">
      <c r="A9" s="16">
        <v>7</v>
      </c>
      <c r="B9" s="16" t="s">
        <v>7</v>
      </c>
      <c r="C9" s="65">
        <v>5</v>
      </c>
      <c r="D9" s="65">
        <v>5</v>
      </c>
      <c r="E9" s="65">
        <v>5</v>
      </c>
    </row>
    <row r="10" spans="1:5" ht="18" customHeight="1" x14ac:dyDescent="0.2">
      <c r="A10" s="17">
        <v>8</v>
      </c>
      <c r="B10" s="17" t="s">
        <v>133</v>
      </c>
      <c r="C10" s="66">
        <v>5.5</v>
      </c>
      <c r="D10" s="66">
        <v>5.5</v>
      </c>
      <c r="E10" s="66">
        <v>5.5</v>
      </c>
    </row>
    <row r="11" spans="1:5" ht="18" customHeight="1" x14ac:dyDescent="0.2">
      <c r="A11" s="16">
        <v>9</v>
      </c>
      <c r="B11" s="16" t="s">
        <v>8</v>
      </c>
      <c r="C11" s="65">
        <v>5</v>
      </c>
      <c r="D11" s="65">
        <v>5</v>
      </c>
      <c r="E11" s="65">
        <v>5</v>
      </c>
    </row>
    <row r="12" spans="1:5" ht="18" customHeight="1" x14ac:dyDescent="0.2">
      <c r="A12" s="17">
        <v>10</v>
      </c>
      <c r="B12" s="17" t="s">
        <v>134</v>
      </c>
      <c r="C12" s="66">
        <v>5</v>
      </c>
      <c r="D12" s="66">
        <v>7</v>
      </c>
      <c r="E12" s="66">
        <v>9</v>
      </c>
    </row>
    <row r="13" spans="1:5" ht="18" customHeight="1" x14ac:dyDescent="0.2">
      <c r="A13" s="16">
        <v>11</v>
      </c>
      <c r="B13" s="16" t="s">
        <v>135</v>
      </c>
      <c r="C13" s="65">
        <v>6</v>
      </c>
      <c r="D13" s="65">
        <v>8</v>
      </c>
      <c r="E13" s="65">
        <v>10</v>
      </c>
    </row>
    <row r="14" spans="1:5" ht="18" customHeight="1" x14ac:dyDescent="0.2">
      <c r="A14" s="17">
        <v>12</v>
      </c>
      <c r="B14" s="17" t="s">
        <v>9</v>
      </c>
      <c r="C14" s="66">
        <v>25</v>
      </c>
      <c r="D14" s="66">
        <v>25</v>
      </c>
      <c r="E14" s="66">
        <v>25</v>
      </c>
    </row>
    <row r="15" spans="1:5" ht="18" customHeight="1" x14ac:dyDescent="0.2">
      <c r="A15" s="16">
        <v>13</v>
      </c>
      <c r="B15" s="16" t="s">
        <v>10</v>
      </c>
      <c r="C15" s="65">
        <v>18</v>
      </c>
      <c r="D15" s="65">
        <v>21</v>
      </c>
      <c r="E15" s="65">
        <v>25</v>
      </c>
    </row>
    <row r="16" spans="1:5" ht="18" customHeight="1" x14ac:dyDescent="0.2">
      <c r="A16" s="16">
        <v>14</v>
      </c>
      <c r="B16" s="16" t="s">
        <v>171</v>
      </c>
      <c r="C16" s="65">
        <v>19</v>
      </c>
      <c r="D16" s="65">
        <v>22</v>
      </c>
      <c r="E16" s="65">
        <v>26</v>
      </c>
    </row>
    <row r="17" spans="1:5" ht="18" customHeight="1" x14ac:dyDescent="0.2">
      <c r="A17" s="17">
        <v>15</v>
      </c>
      <c r="B17" s="17" t="s">
        <v>11</v>
      </c>
      <c r="C17" s="66">
        <v>3</v>
      </c>
      <c r="D17" s="66">
        <v>3</v>
      </c>
      <c r="E17" s="66">
        <v>3</v>
      </c>
    </row>
    <row r="18" spans="1:5" ht="18" customHeight="1" x14ac:dyDescent="0.2">
      <c r="A18" s="16">
        <v>16</v>
      </c>
      <c r="B18" s="16" t="s">
        <v>12</v>
      </c>
      <c r="C18" s="65">
        <v>20</v>
      </c>
      <c r="D18" s="65">
        <v>20</v>
      </c>
      <c r="E18" s="65">
        <v>20</v>
      </c>
    </row>
    <row r="19" spans="1:5" ht="18" customHeight="1" x14ac:dyDescent="0.2">
      <c r="A19" s="17">
        <v>17</v>
      </c>
      <c r="B19" s="17" t="s">
        <v>13</v>
      </c>
      <c r="C19" s="66">
        <v>15</v>
      </c>
      <c r="D19" s="66">
        <v>15</v>
      </c>
      <c r="E19" s="66">
        <v>15</v>
      </c>
    </row>
    <row r="20" spans="1:5" ht="18" customHeight="1" x14ac:dyDescent="0.2">
      <c r="A20" s="16">
        <v>18</v>
      </c>
      <c r="B20" s="16" t="s">
        <v>14</v>
      </c>
      <c r="C20" s="65">
        <v>20</v>
      </c>
      <c r="D20" s="65">
        <v>20</v>
      </c>
      <c r="E20" s="65">
        <v>20</v>
      </c>
    </row>
    <row r="21" spans="1:5" ht="18" customHeight="1" x14ac:dyDescent="0.2">
      <c r="A21" s="17">
        <v>19</v>
      </c>
      <c r="B21" s="17" t="s">
        <v>132</v>
      </c>
      <c r="C21" s="66"/>
      <c r="D21" s="66"/>
      <c r="E21" s="66"/>
    </row>
    <row r="22" spans="1:5" ht="18" customHeight="1" x14ac:dyDescent="0.2">
      <c r="A22" s="16">
        <v>20</v>
      </c>
      <c r="B22" s="16" t="s">
        <v>131</v>
      </c>
      <c r="C22" s="65"/>
      <c r="D22" s="65"/>
      <c r="E22" s="65"/>
    </row>
    <row r="23" spans="1:5" ht="18" customHeight="1" x14ac:dyDescent="0.2">
      <c r="A23" s="17">
        <v>21</v>
      </c>
      <c r="B23" s="17" t="s">
        <v>129</v>
      </c>
      <c r="C23" s="66">
        <v>25</v>
      </c>
      <c r="D23" s="66">
        <v>30</v>
      </c>
      <c r="E23" s="66">
        <v>35</v>
      </c>
    </row>
    <row r="24" spans="1:5" ht="18" customHeight="1" x14ac:dyDescent="0.2">
      <c r="A24" s="17">
        <v>22</v>
      </c>
      <c r="B24" s="17" t="s">
        <v>172</v>
      </c>
      <c r="C24" s="66">
        <v>25</v>
      </c>
      <c r="D24" s="66">
        <v>30</v>
      </c>
      <c r="E24" s="66">
        <v>35</v>
      </c>
    </row>
    <row r="25" spans="1:5" ht="18" customHeight="1" x14ac:dyDescent="0.2">
      <c r="A25" s="16">
        <v>23</v>
      </c>
      <c r="B25" s="16" t="s">
        <v>128</v>
      </c>
      <c r="C25" s="65">
        <v>27</v>
      </c>
      <c r="D25" s="65">
        <v>32</v>
      </c>
      <c r="E25" s="65">
        <v>37</v>
      </c>
    </row>
    <row r="26" spans="1:5" ht="18" customHeight="1" x14ac:dyDescent="0.2">
      <c r="A26" s="17">
        <v>24</v>
      </c>
      <c r="B26" s="17" t="s">
        <v>130</v>
      </c>
      <c r="C26" s="66">
        <v>16</v>
      </c>
      <c r="D26" s="66">
        <v>18</v>
      </c>
      <c r="E26" s="66">
        <v>20</v>
      </c>
    </row>
    <row r="27" spans="1:5" ht="18" customHeight="1" x14ac:dyDescent="0.2">
      <c r="A27" s="16">
        <v>25</v>
      </c>
      <c r="B27" s="16" t="s">
        <v>136</v>
      </c>
      <c r="C27" s="65">
        <v>5</v>
      </c>
      <c r="D27" s="65">
        <v>5</v>
      </c>
      <c r="E27" s="65">
        <v>5</v>
      </c>
    </row>
    <row r="28" spans="1:5" ht="18" customHeight="1" x14ac:dyDescent="0.2">
      <c r="A28" s="17">
        <v>26</v>
      </c>
      <c r="B28" s="17" t="s">
        <v>137</v>
      </c>
      <c r="C28" s="66">
        <v>5</v>
      </c>
      <c r="D28" s="66">
        <v>5</v>
      </c>
      <c r="E28" s="66">
        <v>5</v>
      </c>
    </row>
    <row r="29" spans="1:5" ht="18" customHeight="1" x14ac:dyDescent="0.2">
      <c r="A29" s="16">
        <v>27</v>
      </c>
      <c r="B29" s="16" t="s">
        <v>125</v>
      </c>
      <c r="C29" s="65">
        <v>100</v>
      </c>
      <c r="D29" s="65">
        <v>120</v>
      </c>
      <c r="E29" s="65">
        <v>150</v>
      </c>
    </row>
    <row r="30" spans="1:5" x14ac:dyDescent="0.2">
      <c r="A30" s="17"/>
      <c r="B30" s="17"/>
      <c r="C30" s="66"/>
      <c r="D30" s="66"/>
      <c r="E30" s="66"/>
    </row>
    <row r="31" spans="1:5" x14ac:dyDescent="0.2">
      <c r="A31" s="16"/>
      <c r="B31" s="18"/>
    </row>
    <row r="32" spans="1:5" x14ac:dyDescent="0.2">
      <c r="E32"/>
    </row>
    <row r="33" spans="5:5" x14ac:dyDescent="0.2">
      <c r="E33"/>
    </row>
    <row r="34" spans="5:5" x14ac:dyDescent="0.2">
      <c r="E34"/>
    </row>
    <row r="35" spans="5:5" x14ac:dyDescent="0.2">
      <c r="E35"/>
    </row>
    <row r="36" spans="5:5" x14ac:dyDescent="0.2">
      <c r="E36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/>
    </row>
    <row r="43" spans="5:5" x14ac:dyDescent="0.2">
      <c r="E43"/>
    </row>
    <row r="44" spans="5:5" x14ac:dyDescent="0.2">
      <c r="E44"/>
    </row>
    <row r="45" spans="5:5" x14ac:dyDescent="0.2">
      <c r="E45"/>
    </row>
    <row r="46" spans="5:5" x14ac:dyDescent="0.2">
      <c r="E46"/>
    </row>
    <row r="47" spans="5:5" x14ac:dyDescent="0.2">
      <c r="E47"/>
    </row>
    <row r="48" spans="5:5" x14ac:dyDescent="0.2">
      <c r="E48"/>
    </row>
    <row r="49" spans="5:5" x14ac:dyDescent="0.2">
      <c r="E49"/>
    </row>
    <row r="50" spans="5:5" x14ac:dyDescent="0.2">
      <c r="E50"/>
    </row>
    <row r="51" spans="5:5" x14ac:dyDescent="0.2">
      <c r="E51"/>
    </row>
    <row r="52" spans="5:5" x14ac:dyDescent="0.2">
      <c r="E52"/>
    </row>
    <row r="53" spans="5:5" x14ac:dyDescent="0.2">
      <c r="E53"/>
    </row>
    <row r="54" spans="5:5" x14ac:dyDescent="0.2">
      <c r="E54"/>
    </row>
    <row r="55" spans="5:5" x14ac:dyDescent="0.2">
      <c r="E55"/>
    </row>
    <row r="56" spans="5:5" x14ac:dyDescent="0.2">
      <c r="E56"/>
    </row>
    <row r="57" spans="5:5" x14ac:dyDescent="0.2">
      <c r="E57"/>
    </row>
    <row r="58" spans="5:5" x14ac:dyDescent="0.2">
      <c r="E58"/>
    </row>
    <row r="59" spans="5:5" x14ac:dyDescent="0.2">
      <c r="E59"/>
    </row>
  </sheetData>
  <mergeCells count="2">
    <mergeCell ref="C1:E1"/>
    <mergeCell ref="A1:B1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0F8D-CC28-442D-9338-59ECCE5A0BCF}">
  <sheetPr codeName="Hoja6">
    <pageSetUpPr fitToPage="1"/>
  </sheetPr>
  <dimension ref="A1:D30"/>
  <sheetViews>
    <sheetView topLeftCell="A10" workbookViewId="0">
      <selection activeCell="D25" sqref="D25"/>
    </sheetView>
  </sheetViews>
  <sheetFormatPr baseColWidth="10" defaultRowHeight="12.75" x14ac:dyDescent="0.2"/>
  <cols>
    <col min="2" max="2" width="27.7109375" customWidth="1"/>
    <col min="3" max="3" width="14.7109375" customWidth="1"/>
    <col min="4" max="4" width="13" customWidth="1"/>
  </cols>
  <sheetData>
    <row r="1" spans="1:4" ht="20.25" customHeight="1" x14ac:dyDescent="0.2">
      <c r="A1" s="216" t="s">
        <v>158</v>
      </c>
      <c r="B1" s="216"/>
      <c r="C1" s="101"/>
      <c r="D1" s="101"/>
    </row>
    <row r="2" spans="1:4" ht="30" customHeight="1" x14ac:dyDescent="0.2">
      <c r="A2" s="62" t="s">
        <v>15</v>
      </c>
      <c r="B2" s="62" t="s">
        <v>0</v>
      </c>
      <c r="C2" s="61" t="s">
        <v>126</v>
      </c>
      <c r="D2" s="116" t="s">
        <v>111</v>
      </c>
    </row>
    <row r="3" spans="1:4" ht="17.100000000000001" customHeight="1" x14ac:dyDescent="0.2">
      <c r="A3" s="16">
        <v>1</v>
      </c>
      <c r="B3" s="16" t="s">
        <v>1</v>
      </c>
      <c r="C3" s="16">
        <v>8</v>
      </c>
      <c r="D3" s="124">
        <f>('Fij&amp;Var'!$C$16/10)*fijosXprenda!$C3</f>
        <v>9.5466666666666669</v>
      </c>
    </row>
    <row r="4" spans="1:4" ht="17.100000000000001" customHeight="1" x14ac:dyDescent="0.2">
      <c r="A4" s="17">
        <v>2</v>
      </c>
      <c r="B4" s="17" t="s">
        <v>2</v>
      </c>
      <c r="C4" s="17">
        <v>6</v>
      </c>
      <c r="D4" s="125">
        <f>('Fij&amp;Var'!$C$16/10)*fijosXprenda!$C4</f>
        <v>7.16</v>
      </c>
    </row>
    <row r="5" spans="1:4" ht="17.100000000000001" customHeight="1" x14ac:dyDescent="0.2">
      <c r="A5" s="16">
        <v>3</v>
      </c>
      <c r="B5" s="16" t="s">
        <v>138</v>
      </c>
      <c r="C5" s="16">
        <v>7</v>
      </c>
      <c r="D5" s="124">
        <f>('Fij&amp;Var'!$C$16/10)*fijosXprenda!$C5</f>
        <v>8.3533333333333335</v>
      </c>
    </row>
    <row r="6" spans="1:4" ht="17.100000000000001" customHeight="1" x14ac:dyDescent="0.2">
      <c r="A6" s="17">
        <v>4</v>
      </c>
      <c r="B6" s="17" t="s">
        <v>3</v>
      </c>
      <c r="C6" s="17">
        <v>2</v>
      </c>
      <c r="D6" s="125">
        <f>('Fij&amp;Var'!$C$16/10)*fijosXprenda!$C6</f>
        <v>2.3866666666666667</v>
      </c>
    </row>
    <row r="7" spans="1:4" ht="17.100000000000001" customHeight="1" x14ac:dyDescent="0.2">
      <c r="A7" s="16">
        <v>5</v>
      </c>
      <c r="B7" s="16" t="s">
        <v>5</v>
      </c>
      <c r="C7" s="16">
        <v>7</v>
      </c>
      <c r="D7" s="124">
        <f>('Fij&amp;Var'!$C$16/10)*fijosXprenda!$C7</f>
        <v>8.3533333333333335</v>
      </c>
    </row>
    <row r="8" spans="1:4" ht="17.100000000000001" customHeight="1" x14ac:dyDescent="0.2">
      <c r="A8" s="17">
        <v>6</v>
      </c>
      <c r="B8" s="17" t="s">
        <v>6</v>
      </c>
      <c r="C8" s="17">
        <v>6</v>
      </c>
      <c r="D8" s="125">
        <f>('Fij&amp;Var'!$C$16/10)*fijosXprenda!$C8</f>
        <v>7.16</v>
      </c>
    </row>
    <row r="9" spans="1:4" ht="17.100000000000001" customHeight="1" x14ac:dyDescent="0.2">
      <c r="A9" s="16">
        <v>7</v>
      </c>
      <c r="B9" s="16" t="s">
        <v>7</v>
      </c>
      <c r="C9" s="16">
        <v>4</v>
      </c>
      <c r="D9" s="124">
        <f>('Fij&amp;Var'!$C$16/10)*fijosXprenda!$C9</f>
        <v>4.7733333333333334</v>
      </c>
    </row>
    <row r="10" spans="1:4" ht="17.100000000000001" customHeight="1" x14ac:dyDescent="0.2">
      <c r="A10" s="17">
        <v>8</v>
      </c>
      <c r="B10" s="17" t="s">
        <v>133</v>
      </c>
      <c r="C10" s="17">
        <v>4.5</v>
      </c>
      <c r="D10" s="125">
        <f>('Fij&amp;Var'!$C$16/10)*fijosXprenda!$C10</f>
        <v>5.37</v>
      </c>
    </row>
    <row r="11" spans="1:4" ht="17.100000000000001" customHeight="1" x14ac:dyDescent="0.2">
      <c r="A11" s="16">
        <v>9</v>
      </c>
      <c r="B11" s="16" t="s">
        <v>8</v>
      </c>
      <c r="C11" s="16">
        <v>4</v>
      </c>
      <c r="D11" s="124">
        <f>('Fij&amp;Var'!$C$16/10)*fijosXprenda!$C11</f>
        <v>4.7733333333333334</v>
      </c>
    </row>
    <row r="12" spans="1:4" ht="17.100000000000001" customHeight="1" x14ac:dyDescent="0.2">
      <c r="A12" s="17">
        <v>10</v>
      </c>
      <c r="B12" s="17" t="s">
        <v>134</v>
      </c>
      <c r="C12" s="17">
        <v>4</v>
      </c>
      <c r="D12" s="125">
        <f>('Fij&amp;Var'!$C$16/10)*fijosXprenda!$C12</f>
        <v>4.7733333333333334</v>
      </c>
    </row>
    <row r="13" spans="1:4" ht="17.100000000000001" customHeight="1" x14ac:dyDescent="0.2">
      <c r="A13" s="16">
        <v>11</v>
      </c>
      <c r="B13" s="16" t="s">
        <v>135</v>
      </c>
      <c r="C13" s="16">
        <v>4.5</v>
      </c>
      <c r="D13" s="124">
        <f>('Fij&amp;Var'!$C$16/10)*fijosXprenda!$C13</f>
        <v>5.37</v>
      </c>
    </row>
    <row r="14" spans="1:4" ht="17.100000000000001" customHeight="1" x14ac:dyDescent="0.2">
      <c r="A14" s="17">
        <v>12</v>
      </c>
      <c r="B14" s="17" t="s">
        <v>9</v>
      </c>
      <c r="C14" s="17">
        <v>7</v>
      </c>
      <c r="D14" s="125">
        <f>('Fij&amp;Var'!$C$16/10)*fijosXprenda!$C14</f>
        <v>8.3533333333333335</v>
      </c>
    </row>
    <row r="15" spans="1:4" ht="17.100000000000001" customHeight="1" x14ac:dyDescent="0.2">
      <c r="A15" s="16">
        <v>13</v>
      </c>
      <c r="B15" s="16" t="s">
        <v>10</v>
      </c>
      <c r="C15" s="16">
        <v>6</v>
      </c>
      <c r="D15" s="124">
        <f>('Fij&amp;Var'!$C$16/10)*fijosXprenda!$C15</f>
        <v>7.16</v>
      </c>
    </row>
    <row r="16" spans="1:4" ht="17.100000000000001" customHeight="1" x14ac:dyDescent="0.2">
      <c r="A16" s="17">
        <v>14</v>
      </c>
      <c r="B16" s="17" t="s">
        <v>171</v>
      </c>
      <c r="C16" s="17">
        <v>7</v>
      </c>
      <c r="D16" s="125">
        <f>('Fij&amp;Var'!$C$16/10)*fijosXprenda!$C16</f>
        <v>8.3533333333333335</v>
      </c>
    </row>
    <row r="17" spans="1:4" ht="17.100000000000001" customHeight="1" x14ac:dyDescent="0.2">
      <c r="A17" s="16">
        <v>15</v>
      </c>
      <c r="B17" s="16" t="s">
        <v>11</v>
      </c>
      <c r="C17" s="16">
        <v>2</v>
      </c>
      <c r="D17" s="124">
        <f>('Fij&amp;Var'!$C$16/10)*fijosXprenda!$C17</f>
        <v>2.3866666666666667</v>
      </c>
    </row>
    <row r="18" spans="1:4" ht="17.100000000000001" customHeight="1" x14ac:dyDescent="0.2">
      <c r="A18" s="17">
        <v>16</v>
      </c>
      <c r="B18" s="17" t="s">
        <v>12</v>
      </c>
      <c r="C18" s="17">
        <v>7</v>
      </c>
      <c r="D18" s="125">
        <f>('Fij&amp;Var'!$C$16/10)*fijosXprenda!$C18</f>
        <v>8.3533333333333335</v>
      </c>
    </row>
    <row r="19" spans="1:4" ht="17.100000000000001" customHeight="1" x14ac:dyDescent="0.2">
      <c r="A19" s="16">
        <v>17</v>
      </c>
      <c r="B19" s="16" t="s">
        <v>13</v>
      </c>
      <c r="C19" s="16">
        <v>5</v>
      </c>
      <c r="D19" s="124">
        <f>('Fij&amp;Var'!$C$16/10)*fijosXprenda!$C19</f>
        <v>5.9666666666666668</v>
      </c>
    </row>
    <row r="20" spans="1:4" ht="17.100000000000001" customHeight="1" x14ac:dyDescent="0.2">
      <c r="A20" s="17">
        <v>18</v>
      </c>
      <c r="B20" s="17" t="s">
        <v>14</v>
      </c>
      <c r="C20" s="17">
        <v>5</v>
      </c>
      <c r="D20" s="125">
        <f>('Fij&amp;Var'!$C$16/10)*fijosXprenda!$C20</f>
        <v>5.9666666666666668</v>
      </c>
    </row>
    <row r="21" spans="1:4" ht="17.100000000000001" customHeight="1" x14ac:dyDescent="0.2">
      <c r="A21" s="16">
        <v>19</v>
      </c>
      <c r="B21" s="16" t="s">
        <v>132</v>
      </c>
      <c r="C21" s="16">
        <v>1</v>
      </c>
      <c r="D21" s="124">
        <f>('Fij&amp;Var'!$C$16/10)*fijosXprenda!$C21</f>
        <v>1.1933333333333334</v>
      </c>
    </row>
    <row r="22" spans="1:4" ht="17.100000000000001" customHeight="1" x14ac:dyDescent="0.2">
      <c r="A22" s="17">
        <v>20</v>
      </c>
      <c r="B22" s="17" t="s">
        <v>131</v>
      </c>
      <c r="C22" s="17">
        <v>1</v>
      </c>
      <c r="D22" s="125">
        <f>('Fij&amp;Var'!$C$16/10)*fijosXprenda!$C22</f>
        <v>1.1933333333333334</v>
      </c>
    </row>
    <row r="23" spans="1:4" ht="17.100000000000001" customHeight="1" x14ac:dyDescent="0.2">
      <c r="A23" s="16">
        <v>21</v>
      </c>
      <c r="B23" s="16" t="s">
        <v>129</v>
      </c>
      <c r="C23" s="16">
        <v>9</v>
      </c>
      <c r="D23" s="124">
        <f>('Fij&amp;Var'!$C$16/10)*fijosXprenda!$C23</f>
        <v>10.74</v>
      </c>
    </row>
    <row r="24" spans="1:4" ht="17.100000000000001" customHeight="1" x14ac:dyDescent="0.2">
      <c r="A24" s="17">
        <v>22</v>
      </c>
      <c r="B24" s="17" t="s">
        <v>172</v>
      </c>
      <c r="C24" s="17">
        <v>9.1999999999999993</v>
      </c>
      <c r="D24" s="125">
        <f>('Fij&amp;Var'!$C$16/10)*fijosXprenda!$C24</f>
        <v>10.978666666666665</v>
      </c>
    </row>
    <row r="25" spans="1:4" ht="17.100000000000001" customHeight="1" x14ac:dyDescent="0.2">
      <c r="A25" s="16">
        <v>23</v>
      </c>
      <c r="B25" s="16" t="s">
        <v>128</v>
      </c>
      <c r="C25" s="16">
        <v>9.5</v>
      </c>
      <c r="D25" s="124">
        <f>('Fij&amp;Var'!$C$16/10)*fijosXprenda!$C25</f>
        <v>11.336666666666666</v>
      </c>
    </row>
    <row r="26" spans="1:4" ht="17.100000000000001" customHeight="1" x14ac:dyDescent="0.2">
      <c r="A26" s="17">
        <v>24</v>
      </c>
      <c r="B26" s="17" t="s">
        <v>130</v>
      </c>
      <c r="C26" s="17">
        <v>7</v>
      </c>
      <c r="D26" s="125">
        <f>('Fij&amp;Var'!$C$16/10)*fijosXprenda!$C26</f>
        <v>8.3533333333333335</v>
      </c>
    </row>
    <row r="27" spans="1:4" ht="17.100000000000001" customHeight="1" x14ac:dyDescent="0.2">
      <c r="A27" s="16">
        <v>25</v>
      </c>
      <c r="B27" s="16" t="s">
        <v>136</v>
      </c>
      <c r="C27" s="16">
        <v>4</v>
      </c>
      <c r="D27" s="124">
        <f>('Fij&amp;Var'!$C$16/10)*fijosXprenda!$C27</f>
        <v>4.7733333333333334</v>
      </c>
    </row>
    <row r="28" spans="1:4" ht="17.100000000000001" customHeight="1" x14ac:dyDescent="0.2">
      <c r="A28" s="17">
        <v>26</v>
      </c>
      <c r="B28" s="17" t="s">
        <v>137</v>
      </c>
      <c r="C28" s="17">
        <v>4</v>
      </c>
      <c r="D28" s="125">
        <f>('Fij&amp;Var'!$C$16/10)*fijosXprenda!$C28</f>
        <v>4.7733333333333334</v>
      </c>
    </row>
    <row r="29" spans="1:4" ht="17.100000000000001" customHeight="1" x14ac:dyDescent="0.2">
      <c r="A29" s="16">
        <v>27</v>
      </c>
      <c r="B29" s="16" t="s">
        <v>125</v>
      </c>
      <c r="C29" s="16">
        <v>10</v>
      </c>
      <c r="D29" s="124">
        <f>('Fij&amp;Var'!$C$16/10)*fijosXprenda!$C29</f>
        <v>11.933333333333334</v>
      </c>
    </row>
    <row r="30" spans="1:4" ht="17.100000000000001" customHeight="1" x14ac:dyDescent="0.2">
      <c r="A30" s="17"/>
      <c r="B30" s="17"/>
      <c r="C30" s="17"/>
      <c r="D30" s="125"/>
    </row>
  </sheetData>
  <mergeCells count="1">
    <mergeCell ref="A1:B1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F078-E219-414A-A5AC-CC72AC82054D}">
  <sheetPr codeName="Hoja7">
    <pageSetUpPr fitToPage="1"/>
  </sheetPr>
  <dimension ref="A1:C19"/>
  <sheetViews>
    <sheetView workbookViewId="0">
      <selection activeCell="N11" sqref="N11"/>
    </sheetView>
  </sheetViews>
  <sheetFormatPr baseColWidth="10" defaultRowHeight="12.75" x14ac:dyDescent="0.2"/>
  <cols>
    <col min="1" max="1" width="8.42578125" customWidth="1"/>
    <col min="2" max="2" width="50.5703125" customWidth="1"/>
    <col min="3" max="3" width="11.85546875" customWidth="1"/>
  </cols>
  <sheetData>
    <row r="1" spans="1:3" ht="25.5" x14ac:dyDescent="0.2">
      <c r="A1" s="122" t="s">
        <v>15</v>
      </c>
      <c r="B1" s="123" t="s">
        <v>119</v>
      </c>
      <c r="C1" s="122" t="s">
        <v>124</v>
      </c>
    </row>
    <row r="2" spans="1:3" x14ac:dyDescent="0.2">
      <c r="A2" s="16">
        <v>1</v>
      </c>
      <c r="B2" s="117" t="s">
        <v>118</v>
      </c>
      <c r="C2" s="16">
        <v>4000</v>
      </c>
    </row>
    <row r="3" spans="1:3" x14ac:dyDescent="0.2">
      <c r="A3" s="17">
        <f>A2+1</f>
        <v>2</v>
      </c>
      <c r="B3" s="118" t="s">
        <v>113</v>
      </c>
      <c r="C3" s="17">
        <v>5500</v>
      </c>
    </row>
    <row r="4" spans="1:3" x14ac:dyDescent="0.2">
      <c r="A4" s="16">
        <f t="shared" ref="A4:A13" si="0">A3+1</f>
        <v>3</v>
      </c>
      <c r="B4" s="117" t="s">
        <v>114</v>
      </c>
      <c r="C4" s="16">
        <v>4500</v>
      </c>
    </row>
    <row r="5" spans="1:3" x14ac:dyDescent="0.2">
      <c r="A5" s="17">
        <f t="shared" si="0"/>
        <v>4</v>
      </c>
      <c r="B5" s="118" t="s">
        <v>112</v>
      </c>
      <c r="C5" s="17">
        <v>350</v>
      </c>
    </row>
    <row r="6" spans="1:3" x14ac:dyDescent="0.2">
      <c r="A6" s="16">
        <f t="shared" si="0"/>
        <v>5</v>
      </c>
      <c r="B6" s="117" t="s">
        <v>115</v>
      </c>
      <c r="C6" s="16">
        <v>1600</v>
      </c>
    </row>
    <row r="7" spans="1:3" x14ac:dyDescent="0.2">
      <c r="A7" s="17">
        <f t="shared" si="0"/>
        <v>6</v>
      </c>
      <c r="B7" s="118" t="s">
        <v>116</v>
      </c>
      <c r="C7" s="17">
        <v>250</v>
      </c>
    </row>
    <row r="8" spans="1:3" x14ac:dyDescent="0.2">
      <c r="A8" s="16">
        <f t="shared" si="0"/>
        <v>7</v>
      </c>
      <c r="B8" s="117" t="s">
        <v>117</v>
      </c>
      <c r="C8" s="16">
        <v>280</v>
      </c>
    </row>
    <row r="9" spans="1:3" x14ac:dyDescent="0.2">
      <c r="A9" s="17">
        <f t="shared" si="0"/>
        <v>8</v>
      </c>
      <c r="B9" s="118" t="s">
        <v>123</v>
      </c>
      <c r="C9" s="17">
        <v>5000</v>
      </c>
    </row>
    <row r="10" spans="1:3" x14ac:dyDescent="0.2">
      <c r="A10" s="16">
        <f t="shared" si="0"/>
        <v>9</v>
      </c>
      <c r="B10" s="117"/>
      <c r="C10" s="16"/>
    </row>
    <row r="11" spans="1:3" x14ac:dyDescent="0.2">
      <c r="A11" s="17">
        <f t="shared" si="0"/>
        <v>10</v>
      </c>
      <c r="B11" s="118"/>
      <c r="C11" s="17"/>
    </row>
    <row r="12" spans="1:3" x14ac:dyDescent="0.2">
      <c r="A12" s="16">
        <f t="shared" si="0"/>
        <v>11</v>
      </c>
      <c r="B12" s="117"/>
      <c r="C12" s="16"/>
    </row>
    <row r="13" spans="1:3" x14ac:dyDescent="0.2">
      <c r="A13" s="17">
        <f t="shared" si="0"/>
        <v>12</v>
      </c>
      <c r="B13" s="118"/>
      <c r="C13" s="17"/>
    </row>
    <row r="14" spans="1:3" x14ac:dyDescent="0.2">
      <c r="A14" s="16"/>
      <c r="B14" s="119" t="s">
        <v>120</v>
      </c>
      <c r="C14" s="120">
        <f>SUM(C2:C13)</f>
        <v>21480</v>
      </c>
    </row>
    <row r="15" spans="1:3" x14ac:dyDescent="0.2">
      <c r="A15" s="17"/>
      <c r="B15" s="118" t="s">
        <v>121</v>
      </c>
      <c r="C15" s="17">
        <v>1800</v>
      </c>
    </row>
    <row r="16" spans="1:3" x14ac:dyDescent="0.2">
      <c r="A16" s="16"/>
      <c r="B16" s="119" t="s">
        <v>122</v>
      </c>
      <c r="C16" s="121">
        <f>C14/C15</f>
        <v>11.933333333333334</v>
      </c>
    </row>
    <row r="17" spans="1:3" x14ac:dyDescent="0.2">
      <c r="A17" s="17"/>
      <c r="B17" s="17"/>
      <c r="C17" s="17"/>
    </row>
    <row r="18" spans="1:3" x14ac:dyDescent="0.2">
      <c r="A18" s="16"/>
      <c r="B18" s="16"/>
      <c r="C18" s="16"/>
    </row>
    <row r="19" spans="1:3" x14ac:dyDescent="0.2">
      <c r="A19" s="17"/>
      <c r="B19" s="17"/>
      <c r="C19" s="17"/>
    </row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>
    <pageSetUpPr fitToPage="1"/>
  </sheetPr>
  <dimension ref="A1:Q11"/>
  <sheetViews>
    <sheetView workbookViewId="0">
      <selection activeCell="N11" sqref="N11"/>
    </sheetView>
  </sheetViews>
  <sheetFormatPr baseColWidth="10" defaultRowHeight="12.75" x14ac:dyDescent="0.2"/>
  <cols>
    <col min="1" max="1" width="6.7109375" customWidth="1"/>
    <col min="2" max="2" width="22" customWidth="1"/>
    <col min="3" max="17" width="9.140625" style="63" customWidth="1"/>
  </cols>
  <sheetData>
    <row r="1" spans="1:17" ht="15.75" thickBot="1" x14ac:dyDescent="0.3">
      <c r="A1" s="20" t="s">
        <v>69</v>
      </c>
    </row>
    <row r="2" spans="1:17" s="38" customFormat="1" ht="18.75" customHeight="1" thickBot="1" x14ac:dyDescent="0.25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</row>
    <row r="3" spans="1:17" s="38" customFormat="1" ht="19.5" customHeight="1" thickBot="1" x14ac:dyDescent="0.25">
      <c r="A3" s="37">
        <v>19</v>
      </c>
      <c r="B3" s="26" t="s">
        <v>132</v>
      </c>
      <c r="C3" s="41">
        <v>50</v>
      </c>
      <c r="D3" s="41">
        <v>50</v>
      </c>
      <c r="E3" s="41">
        <v>55</v>
      </c>
      <c r="F3" s="41">
        <v>60</v>
      </c>
      <c r="G3" s="41">
        <v>65</v>
      </c>
      <c r="H3" s="41">
        <v>70</v>
      </c>
      <c r="I3" s="41">
        <v>75</v>
      </c>
      <c r="J3" s="41">
        <v>80</v>
      </c>
      <c r="L3" s="41">
        <v>90</v>
      </c>
      <c r="M3" s="41">
        <v>100</v>
      </c>
      <c r="N3" s="41">
        <v>110</v>
      </c>
      <c r="O3" s="41">
        <v>120</v>
      </c>
      <c r="P3" s="41">
        <v>130</v>
      </c>
      <c r="Q3" s="41">
        <v>140</v>
      </c>
    </row>
    <row r="4" spans="1:17" s="38" customFormat="1" ht="19.5" customHeight="1" thickBot="1" x14ac:dyDescent="0.25">
      <c r="A4" s="40">
        <v>20</v>
      </c>
      <c r="B4" s="27" t="s">
        <v>131</v>
      </c>
      <c r="C4" s="42">
        <v>45</v>
      </c>
      <c r="D4" s="43">
        <v>45</v>
      </c>
      <c r="E4" s="43">
        <v>50</v>
      </c>
      <c r="F4" s="43">
        <v>55</v>
      </c>
      <c r="G4" s="43">
        <v>60</v>
      </c>
      <c r="H4" s="43">
        <v>65</v>
      </c>
      <c r="I4" s="43">
        <v>70</v>
      </c>
      <c r="J4" s="43">
        <v>75</v>
      </c>
      <c r="L4" s="43">
        <v>85</v>
      </c>
      <c r="M4" s="43">
        <v>95</v>
      </c>
      <c r="N4" s="43">
        <v>105</v>
      </c>
      <c r="O4" s="43">
        <v>115</v>
      </c>
      <c r="P4" s="43">
        <v>125</v>
      </c>
      <c r="Q4" s="43">
        <v>135</v>
      </c>
    </row>
    <row r="5" spans="1:17" ht="19.5" customHeight="1" x14ac:dyDescent="0.2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</row>
    <row r="6" spans="1:17" ht="19.5" customHeight="1" thickBot="1" x14ac:dyDescent="0.2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</row>
    <row r="7" spans="1:17" ht="19.5" customHeight="1" thickBot="1" x14ac:dyDescent="0.25">
      <c r="B7" s="19" t="s">
        <v>147</v>
      </c>
      <c r="C7" s="41">
        <v>47</v>
      </c>
      <c r="D7" s="41">
        <v>47</v>
      </c>
      <c r="E7" s="41">
        <v>49</v>
      </c>
      <c r="F7" s="41">
        <v>52</v>
      </c>
      <c r="G7" s="41">
        <v>55</v>
      </c>
      <c r="H7" s="41">
        <v>57</v>
      </c>
      <c r="I7" s="41">
        <v>62</v>
      </c>
      <c r="J7" s="41">
        <v>62</v>
      </c>
      <c r="K7" s="41" t="s">
        <v>4</v>
      </c>
      <c r="L7" s="41">
        <v>67</v>
      </c>
      <c r="M7" s="41">
        <v>67</v>
      </c>
      <c r="N7" s="41">
        <v>72</v>
      </c>
      <c r="O7" s="41">
        <v>72</v>
      </c>
      <c r="P7" s="41" t="s">
        <v>4</v>
      </c>
      <c r="Q7" s="41" t="s">
        <v>4</v>
      </c>
    </row>
    <row r="8" spans="1:17" ht="19.5" customHeight="1" thickBot="1" x14ac:dyDescent="0.25">
      <c r="C8" s="42">
        <v>37</v>
      </c>
      <c r="D8" s="43">
        <v>37</v>
      </c>
      <c r="E8" s="43">
        <v>39</v>
      </c>
      <c r="F8" s="43">
        <v>42</v>
      </c>
      <c r="G8" s="43">
        <v>45</v>
      </c>
      <c r="H8" s="43">
        <v>47</v>
      </c>
      <c r="I8" s="43">
        <v>52</v>
      </c>
      <c r="J8" s="43">
        <v>52</v>
      </c>
      <c r="K8" s="43" t="s">
        <v>4</v>
      </c>
      <c r="L8" s="43">
        <v>57</v>
      </c>
      <c r="M8" s="43">
        <v>57</v>
      </c>
      <c r="N8" s="43">
        <v>62</v>
      </c>
      <c r="O8" s="43">
        <v>62</v>
      </c>
      <c r="P8" s="43" t="s">
        <v>4</v>
      </c>
      <c r="Q8" s="43" t="s">
        <v>4</v>
      </c>
    </row>
    <row r="9" spans="1:17" ht="19.5" customHeight="1" x14ac:dyDescent="0.2"/>
    <row r="10" spans="1:17" ht="19.5" customHeight="1" x14ac:dyDescent="0.2"/>
    <row r="11" spans="1:17" ht="19.5" customHeight="1" x14ac:dyDescent="0.2"/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5" tint="-0.249977111117893"/>
    <pageSetUpPr fitToPage="1"/>
  </sheetPr>
  <dimension ref="A1:R30"/>
  <sheetViews>
    <sheetView topLeftCell="A4" zoomScale="80" zoomScaleNormal="80" workbookViewId="0">
      <selection activeCell="H25" sqref="H25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1" spans="1:18" ht="20.25" customHeight="1" thickBot="1" x14ac:dyDescent="0.3">
      <c r="A1" s="175" t="s">
        <v>174</v>
      </c>
      <c r="B1" s="175"/>
      <c r="C1" s="175" t="s">
        <v>175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7">
        <v>10</v>
      </c>
      <c r="H2" s="148">
        <v>12</v>
      </c>
      <c r="I2" s="146">
        <v>14</v>
      </c>
      <c r="J2" s="146" t="s">
        <v>149</v>
      </c>
      <c r="K2" s="147" t="s">
        <v>150</v>
      </c>
      <c r="L2" s="148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50">
        <v>1</v>
      </c>
      <c r="B3" s="158" t="s">
        <v>1</v>
      </c>
      <c r="C3" s="168">
        <f>IF(PesoMatPrima!C3&gt;0,(PesoMatPrima!C3*Tela!$J$5)+Acc!$AP$3+ManoDeObra!$C$3,0)</f>
        <v>0</v>
      </c>
      <c r="D3" s="168">
        <f>IF(PesoMatPrima!D3&gt;0,(PesoMatPrima!D3*Tela!$J$5)+Acc!$AP$3+ManoDeObra!$C$3,0)</f>
        <v>0</v>
      </c>
      <c r="E3" s="168">
        <f>IF(PesoMatPrima!E3&gt;0,(PesoMatPrima!E3*Tela!$J$5)+Acc!$AP$3+ManoDeObra!$C$3,0)</f>
        <v>0</v>
      </c>
      <c r="F3" s="168">
        <f>IF(PesoMatPrima!F3&gt;0,(PesoMatPrima!F3*Tela!$J$5)+Acc!$AP$3+ManoDeObra!$C$3,0)</f>
        <v>0</v>
      </c>
      <c r="G3" s="168">
        <f>IF(PesoMatPrima!G3&gt;0,(PesoMatPrima!G3*Tela!$J$5)+Acc!$AP$3+ManoDeObra!$C$3,0)</f>
        <v>0</v>
      </c>
      <c r="H3" s="168">
        <f>IF(PesoMatPrima!H3&gt;0,(PesoMatPrima!H3*Tela!$J$5)+Acc!$AP$3+ManoDeObra!$D$3,0)</f>
        <v>0</v>
      </c>
      <c r="I3" s="168">
        <f>IF(PesoMatPrima!I3&gt;0,(PesoMatPrima!I3*Tela!$J$5)+Acc!$AP$3+ManoDeObra!$D$3,0)</f>
        <v>0</v>
      </c>
      <c r="J3" s="168">
        <f>IF(PesoMatPrima!J3&gt;0,(PesoMatPrima!J3*Tela!$J$5)+Acc!$AP$3+ManoDeObra!$D$3,0)</f>
        <v>97.111951219512207</v>
      </c>
      <c r="K3" s="168">
        <f>IF(PesoMatPrima!K3&gt;0,(PesoMatPrima!K3*Tela!$J$5)+Acc!$AP$3+ManoDeObra!$D$3,0)</f>
        <v>99.570487804878056</v>
      </c>
      <c r="L3" s="168">
        <f>IF(PesoMatPrima!L3&gt;0,(PesoMatPrima!L3*Tela!$J$5)+Acc!$AP$3+ManoDeObra!$E$3,0)</f>
        <v>105.79975609756099</v>
      </c>
      <c r="M3" s="168">
        <f>IF(PesoMatPrima!M3&gt;0,(PesoMatPrima!M3*Tela!$J$5)+Acc!$AP$3+ManoDeObra!$E$3,0)</f>
        <v>107.64365853658538</v>
      </c>
      <c r="N3" s="168">
        <f>IF(PesoMatPrima!N3&gt;0,(PesoMatPrima!N3*Tela!$J$5)+Acc!$AP$3+ManoDeObra!$E$3,0)</f>
        <v>109.48756097560977</v>
      </c>
      <c r="O3" s="168">
        <f>IF(PesoMatPrima!O3&gt;0,(PesoMatPrima!O3*Tela!$J$5)+Acc!$AP$3+ManoDeObra!$E$3,0)</f>
        <v>110.71682926829268</v>
      </c>
      <c r="P3" s="168">
        <f>IF(PesoMatPrima!P3&gt;0,(PesoMatPrima!P3*Tela!$J$5)+Acc!$AP$3+ManoDeObra!$E$3,0)</f>
        <v>112.92951219512196</v>
      </c>
      <c r="Q3" s="168">
        <f>IF(PesoMatPrima!Q3&gt;0,(PesoMatPrima!Q3*Tela!$J$5)+Acc!$AP$3+ManoDeObra!$E$3,0)</f>
        <v>114.28170731707317</v>
      </c>
      <c r="R3" s="168">
        <f>IF(PesoMatPrima!R3&gt;0,(PesoMatPrima!R3*Tela!$J$5)+Acc!$AP$3+ManoDeObra!$E$3,0)</f>
        <v>116.24853658536585</v>
      </c>
    </row>
    <row r="4" spans="1:18" ht="20.25" customHeight="1" thickBot="1" x14ac:dyDescent="0.3">
      <c r="A4" s="154">
        <v>2</v>
      </c>
      <c r="B4" s="160" t="s">
        <v>2</v>
      </c>
      <c r="C4" s="169">
        <f>IF(PesoMatPrima!C4&gt;0,(PesoMatPrima!C4*Tela!$J$6)+Acc!$AP$4+ManoDeObra!$C$4,0)</f>
        <v>48.107994100294988</v>
      </c>
      <c r="D4" s="169">
        <f>IF(PesoMatPrima!D4&gt;0,(PesoMatPrima!D4*Tela!$J$6)+Acc!$AP$4+ManoDeObra!$C$4,0)</f>
        <v>49.223038348082596</v>
      </c>
      <c r="E4" s="169">
        <f>IF(PesoMatPrima!E4&gt;0,(PesoMatPrima!E4*Tela!$J$6)+Acc!$AP$4+ManoDeObra!$C$4,0)</f>
        <v>50.338082595870205</v>
      </c>
      <c r="F4" s="169">
        <f>IF(PesoMatPrima!F4&gt;0,(PesoMatPrima!F4*Tela!$J$6)+Acc!$AP$4+ManoDeObra!$C$4,0)</f>
        <v>51.453126843657813</v>
      </c>
      <c r="G4" s="169">
        <f>IF(PesoMatPrima!G4&gt;0,(PesoMatPrima!G4*Tela!$J$6)+Acc!$AP$4+ManoDeObra!$C$4,0)</f>
        <v>52.568171091445429</v>
      </c>
      <c r="H4" s="169">
        <f>IF(PesoMatPrima!H4&gt;0,(PesoMatPrima!H4*Tela!$J$6)+Acc!$AP$4+ManoDeObra!$D$4,0)</f>
        <v>56.683215339233037</v>
      </c>
      <c r="I4" s="169">
        <f>IF(PesoMatPrima!I4&gt;0,(PesoMatPrima!I4*Tela!$J$6)+Acc!$AP$4+ManoDeObra!$D$4,0)</f>
        <v>57.798259587020652</v>
      </c>
      <c r="J4" s="169">
        <f>IF(PesoMatPrima!J4&gt;0,(PesoMatPrima!J4*Tela!$J$6)+Acc!$AP$4+ManoDeObra!$D$4,0)</f>
        <v>58.913303834808261</v>
      </c>
      <c r="K4" s="169">
        <f>IF(PesoMatPrima!K4&gt;0,(PesoMatPrima!K4*Tela!$J$6)+Acc!$AP$4+ManoDeObra!$D$4,0)</f>
        <v>0</v>
      </c>
      <c r="L4" s="169">
        <f>IF(PesoMatPrima!L4&gt;0,(PesoMatPrima!L4*Tela!$J$6)+Acc!$AP$4+ManoDeObra!$D$4,0)</f>
        <v>60.028348082595869</v>
      </c>
      <c r="M4" s="169">
        <f>IF(PesoMatPrima!M4&gt;0,(PesoMatPrima!M4*Tela!$J$6)+Acc!$AP$4+ManoDeObra!$E$4,0)</f>
        <v>65.143392330383477</v>
      </c>
      <c r="N4" s="169">
        <f>IF(PesoMatPrima!N4&gt;0,(PesoMatPrima!N4*Tela!$J$6)+Acc!$AP$4+ManoDeObra!$E$4,0)</f>
        <v>66.258436578171086</v>
      </c>
      <c r="O4" s="169">
        <f>IF(PesoMatPrima!O4&gt;0,(PesoMatPrima!O4*Tela!$J$6)+Acc!$AP$4+ManoDeObra!$E$4,0)</f>
        <v>67.373480825958708</v>
      </c>
      <c r="P4" s="169">
        <f>IF(PesoMatPrima!P4&gt;0,(PesoMatPrima!P4*Tela!$J$6)+Acc!$AP$4+ManoDeObra!$E$4,0)</f>
        <v>68.807109144542778</v>
      </c>
      <c r="Q4" s="169">
        <f>IF(PesoMatPrima!Q4&gt;0,(PesoMatPrima!Q4*Tela!$J$6)+Acc!$AP$4+ManoDeObra!$E$4,0)</f>
        <v>70.08144542772861</v>
      </c>
    </row>
    <row r="5" spans="1:18" ht="20.25" customHeight="1" thickBot="1" x14ac:dyDescent="0.3">
      <c r="A5" s="150">
        <v>3</v>
      </c>
      <c r="B5" s="158" t="s">
        <v>138</v>
      </c>
      <c r="C5" s="168">
        <f>IF(PesoMatPrima!C5&gt;0,(PesoMatPrima!C5*Tela!$J$6)+Acc!$AP$5+ManoDeObra!$C$5,0)</f>
        <v>52.134247787610619</v>
      </c>
      <c r="D5" s="168">
        <f>IF(PesoMatPrima!D5&gt;0,(PesoMatPrima!D5*Tela!$J$6)+Acc!$AP$5+ManoDeObra!$C$5,0)</f>
        <v>53.249292035398227</v>
      </c>
      <c r="E5" s="168">
        <f>IF(PesoMatPrima!E5&gt;0,(PesoMatPrima!E5*Tela!$J$6)+Acc!$AP$5+ManoDeObra!$C$5,0)</f>
        <v>54.364336283185843</v>
      </c>
      <c r="F5" s="168">
        <f>IF(PesoMatPrima!F5&gt;0,(PesoMatPrima!F5*Tela!$J$6)+Acc!$AP$5+ManoDeObra!$C$5,0)</f>
        <v>55.479380530973451</v>
      </c>
      <c r="G5" s="168">
        <f>IF(PesoMatPrima!G5&gt;0,(PesoMatPrima!G5*Tela!$J$6)+Acc!$AP$5+ManoDeObra!$C$5,0)</f>
        <v>56.594424778761066</v>
      </c>
      <c r="H5" s="168">
        <f>IF(PesoMatPrima!H5&gt;0,(PesoMatPrima!H5*Tela!$J$6)+Acc!$AP$5+ManoDeObra!$D$5,0)</f>
        <v>60.709469026548675</v>
      </c>
      <c r="I5" s="168">
        <f>IF(PesoMatPrima!I5&gt;0,(PesoMatPrima!I5*Tela!$J$6)+Acc!$AP$5+ManoDeObra!$D$5,0)</f>
        <v>61.824513274336283</v>
      </c>
      <c r="J5" s="168">
        <f>IF(PesoMatPrima!J5&gt;0,(PesoMatPrima!J5*Tela!$J$6)+Acc!$AP$5+ManoDeObra!$D$5,0)</f>
        <v>62.939557522123891</v>
      </c>
      <c r="K5" s="168">
        <f>IF(PesoMatPrima!K5&gt;0,(PesoMatPrima!K5*Tela!$J$6)+Acc!$AP$5+ManoDeObra!$D$5,0)</f>
        <v>0</v>
      </c>
      <c r="L5" s="168">
        <f>IF(PesoMatPrima!L5&gt;0,(PesoMatPrima!L5*Tela!$J$6)+Acc!$AP$5+ManoDeObra!$D$5,0)</f>
        <v>64.0546017699115</v>
      </c>
      <c r="M5" s="168">
        <f>IF(PesoMatPrima!M5&gt;0,(PesoMatPrima!M5*Tela!$J$6)+Acc!$AP$5+ManoDeObra!$E$5,0)</f>
        <v>69.169646017699122</v>
      </c>
      <c r="N5" s="168">
        <f>IF(PesoMatPrima!N5&gt;0,(PesoMatPrima!N5*Tela!$J$6)+Acc!$AP$5+ManoDeObra!$E$5,0)</f>
        <v>70.284690265486731</v>
      </c>
      <c r="O5" s="168">
        <f>IF(PesoMatPrima!O5&gt;0,(PesoMatPrima!O5*Tela!$J$6)+Acc!$AP$5+ManoDeObra!$E$5,0)</f>
        <v>71.399734513274339</v>
      </c>
      <c r="P5" s="168">
        <f>IF(PesoMatPrima!P5&gt;0,(PesoMatPrima!P5*Tela!$J$6)+Acc!$AP$5+ManoDeObra!$E$5,0)</f>
        <v>72.833362831858409</v>
      </c>
      <c r="Q5" s="168">
        <f>IF(PesoMatPrima!Q5&gt;0,(PesoMatPrima!Q5*Tela!$J$6)+Acc!$AP$5+ManoDeObra!$E$5,0)</f>
        <v>74.107699115044255</v>
      </c>
    </row>
    <row r="6" spans="1:18" ht="20.25" customHeight="1" thickBot="1" x14ac:dyDescent="0.3">
      <c r="A6" s="154">
        <v>4</v>
      </c>
      <c r="B6" s="160" t="s">
        <v>3</v>
      </c>
      <c r="C6" s="169">
        <f>IF(PesoMatPrima!C6&gt;0,(PesoMatPrima!C6*Tela!$J$10)+Acc!$AP$6+ManoDeObra!$C$6,0)</f>
        <v>0</v>
      </c>
      <c r="D6" s="169">
        <f>IF(PesoMatPrima!D6&gt;0,(PesoMatPrima!D6*Tela!$J$10)+Acc!$AP$6+ManoDeObra!$C$6,0)</f>
        <v>0</v>
      </c>
      <c r="E6" s="169">
        <f>IF(PesoMatPrima!E6&gt;0,(PesoMatPrima!E6*Tela!$J$10)+Acc!$AP$6+ManoDeObra!$C$6,0)</f>
        <v>0</v>
      </c>
      <c r="F6" s="169">
        <f>IF(PesoMatPrima!F6&gt;0,(PesoMatPrima!F6*Tela!$J$10)+Acc!$AP$6+ManoDeObra!$C$6,0)</f>
        <v>0</v>
      </c>
      <c r="G6" s="169">
        <f>IF(PesoMatPrima!G6&gt;0,(PesoMatPrima!G6*Tela!$J$10)+Acc!$AP$6+ManoDeObra!$C$6,0)</f>
        <v>0</v>
      </c>
      <c r="H6" s="169">
        <f>IF(PesoMatPrima!H6&gt;0,(PesoMatPrima!H6*Tela!$J$10)+Acc!$AP$6+ManoDeObra!$C$6,0)</f>
        <v>0</v>
      </c>
      <c r="I6" s="169">
        <f>IF(PesoMatPrima!I6&gt;0,(PesoMatPrima!I6*Tela!$J$10)+Acc!$AP$6+ManoDeObra!$C$6,0)</f>
        <v>0</v>
      </c>
      <c r="J6" s="169">
        <f>IF(PesoMatPrima!J6&gt;0,(PesoMatPrima!J6*Tela!$J$10)+Acc!$AP$6+ManoDeObra!$C$6,0)</f>
        <v>0</v>
      </c>
      <c r="K6" s="169">
        <f>IF(PesoMatPrima!K6&gt;0,(PesoMatPrima!K6*Tela!$J$10)+Acc!$AP$6+ManoDeObra!$C$6,0)</f>
        <v>12.085294117647059</v>
      </c>
      <c r="L6" s="169">
        <f>IF(PesoMatPrima!L6&gt;0,(PesoMatPrima!L6*Tela!$J$10)+Acc!$AP$6+ManoDeObra!$C$6,0)</f>
        <v>0</v>
      </c>
      <c r="M6" s="169">
        <f>IF(PesoMatPrima!M6&gt;0,(PesoMatPrima!M6*Tela!$J$10)+Acc!$AP$6+ManoDeObra!$C$6,0)</f>
        <v>0</v>
      </c>
      <c r="N6" s="169">
        <f>IF(PesoMatPrima!N6&gt;0,(PesoMatPrima!N6*Tela!$J$10)+Acc!$AP$6+ManoDeObra!$C$6,0)</f>
        <v>0</v>
      </c>
      <c r="O6" s="169">
        <f>IF(PesoMatPrima!O6&gt;0,(PesoMatPrima!O6*Tela!$J$10)+Acc!$AP$6+ManoDeObra!$C$6,0)</f>
        <v>0</v>
      </c>
      <c r="P6" s="169">
        <f>IF(PesoMatPrima!P6&gt;0,(PesoMatPrima!P6*Tela!$J$10)+Acc!$AP$6+ManoDeObra!$C$6,0)</f>
        <v>0</v>
      </c>
      <c r="Q6" s="169">
        <f>IF(PesoMatPrima!Q6&gt;0,(PesoMatPrima!Q6*Tela!$J$10)+Acc!$AP$6+ManoDeObra!$C$6,0)</f>
        <v>0</v>
      </c>
    </row>
    <row r="7" spans="1:18" ht="20.25" customHeight="1" thickBot="1" x14ac:dyDescent="0.3">
      <c r="A7" s="150">
        <v>5</v>
      </c>
      <c r="B7" s="158" t="s">
        <v>5</v>
      </c>
      <c r="C7" s="168">
        <f>IF(PesoMatPrima!C7&gt;0,(PesoMatPrima!C7*Tela!$J$5)+Acc!$AP$7+ManoDeObra!$C$7,0)</f>
        <v>42.570121951219512</v>
      </c>
      <c r="D7" s="168">
        <f>IF(PesoMatPrima!D7&gt;0,(PesoMatPrima!D7*Tela!$J$5)+Acc!$AP$7+ManoDeObra!$C$7,0)</f>
        <v>45.151585365853663</v>
      </c>
      <c r="E7" s="168">
        <f>IF(PesoMatPrima!E7&gt;0,(PesoMatPrima!E7*Tela!$J$5)+Acc!$AP$7+ManoDeObra!$C$7,0)</f>
        <v>47.733048780487806</v>
      </c>
      <c r="F7" s="168">
        <f>IF(PesoMatPrima!F7&gt;0,(PesoMatPrima!F7*Tela!$J$5)+Acc!$AP$7+ManoDeObra!$C$7,0)</f>
        <v>50.437439024390244</v>
      </c>
      <c r="G7" s="168">
        <f>IF(PesoMatPrima!G7&gt;0,(PesoMatPrima!G7*Tela!$J$5)+Acc!$AP$7+ManoDeObra!$C$7,0)</f>
        <v>53.018902439024394</v>
      </c>
      <c r="H7" s="168">
        <f>IF(PesoMatPrima!H7&gt;0,(PesoMatPrima!H7*Tela!$J$5)+Acc!$AP$7+ManoDeObra!$D$7,0)</f>
        <v>58.231585365853661</v>
      </c>
      <c r="I7" s="168">
        <f>IF(PesoMatPrima!I7&gt;0,(PesoMatPrima!I7*Tela!$J$5)+Acc!$AP$7+ManoDeObra!$D$7,0)</f>
        <v>60.444268292682928</v>
      </c>
      <c r="J7" s="168">
        <f>IF(PesoMatPrima!J7&gt;0,(PesoMatPrima!J7*Tela!$J$5)+Acc!$AP$7+ManoDeObra!$D$7,0)</f>
        <v>62.656951219512202</v>
      </c>
      <c r="K7" s="168">
        <f>IF(PesoMatPrima!K7&gt;0,(PesoMatPrima!K7*Tela!$J$5)+Acc!$AP$7+ManoDeObra!$D$7,0)</f>
        <v>0</v>
      </c>
      <c r="L7" s="168">
        <f>IF(PesoMatPrima!L7&gt;0,(PesoMatPrima!L7*Tela!$J$5)+Acc!$AP$7+ManoDeObra!$E$7,0)</f>
        <v>68.623780487804879</v>
      </c>
      <c r="M7" s="168">
        <f>IF(PesoMatPrima!M7&gt;0,(PesoMatPrima!M7*Tela!$J$5)+Acc!$AP$7+ManoDeObra!$E$7,0)</f>
        <v>0</v>
      </c>
      <c r="N7" s="168">
        <f>IF(PesoMatPrima!N7&gt;0,(PesoMatPrima!N7*Tela!$J$5)+Acc!$AP$7+ManoDeObra!$E$7,0)</f>
        <v>0</v>
      </c>
      <c r="O7" s="168">
        <f>IF(PesoMatPrima!O7&gt;0,(PesoMatPrima!O7*Tela!$J$5)+Acc!$AP$7+ManoDeObra!$E$7,0)</f>
        <v>0</v>
      </c>
      <c r="P7" s="168">
        <f>IF(PesoMatPrima!P7&gt;0,(PesoMatPrima!P7*Tela!$J$5)+Acc!$AP$7+ManoDeObra!$E$7,0)</f>
        <v>0</v>
      </c>
      <c r="Q7" s="168">
        <f>IF(PesoMatPrima!Q7&gt;0,(PesoMatPrima!Q7*Tela!$J$5)+Acc!$AP$7+ManoDeObra!$E$7,0)</f>
        <v>0</v>
      </c>
    </row>
    <row r="8" spans="1:18" ht="20.25" customHeight="1" thickBot="1" x14ac:dyDescent="0.3">
      <c r="A8" s="154">
        <v>6</v>
      </c>
      <c r="B8" s="160" t="s">
        <v>6</v>
      </c>
      <c r="C8" s="169">
        <f>IF(PesoMatPrima!C8&gt;0,(PesoMatPrima!C8*Tela!$J$5)+Acc!$AP$8+ManoDeObra!$C$8,0)</f>
        <v>37.659268292682931</v>
      </c>
      <c r="D8" s="169">
        <f>IF(PesoMatPrima!D8&gt;0,(PesoMatPrima!D8*Tela!$J$5)+Acc!$AP$8+ManoDeObra!$C$8,0)</f>
        <v>38.642682926829266</v>
      </c>
      <c r="E8" s="169">
        <f>IF(PesoMatPrima!E8&gt;0,(PesoMatPrima!E8*Tela!$J$5)+Acc!$AP$8+ManoDeObra!$C$8,0)</f>
        <v>39.994878048780492</v>
      </c>
      <c r="F8" s="169">
        <f>IF(PesoMatPrima!F8&gt;0,(PesoMatPrima!F8*Tela!$J$5)+Acc!$AP$8+ManoDeObra!$C$8,0)</f>
        <v>41.592926829268293</v>
      </c>
      <c r="G8" s="169">
        <f>IF(PesoMatPrima!G8&gt;0,(PesoMatPrima!G8*Tela!$J$5)+Acc!$AP$8+ManoDeObra!$C$8,0)</f>
        <v>43.80560975609756</v>
      </c>
      <c r="H8" s="169">
        <f>IF(PesoMatPrima!H8&gt;0,(PesoMatPrima!H8*Tela!$J$5)+Acc!$AP$8+ManoDeObra!$D$8,0)</f>
        <v>48.895365853658539</v>
      </c>
      <c r="I8" s="169">
        <f>IF(PesoMatPrima!I8&gt;0,(PesoMatPrima!I8*Tela!$J$5)+Acc!$AP$8+ManoDeObra!$D$8,0)</f>
        <v>49.632926829268293</v>
      </c>
      <c r="J8" s="169">
        <f>IF(PesoMatPrima!J8&gt;0,(PesoMatPrima!J8*Tela!$J$5)+Acc!$AP$8+ManoDeObra!$D$8,0)</f>
        <v>51.230975609756101</v>
      </c>
      <c r="K8" s="169">
        <f>IF(PesoMatPrima!K8&gt;0,(PesoMatPrima!K8*Tela!$J$5)+Acc!$AP$8+ManoDeObra!$D$8,0)</f>
        <v>0</v>
      </c>
      <c r="L8" s="169">
        <f>IF(PesoMatPrima!L8&gt;0,(PesoMatPrima!L8*Tela!$J$5)+Acc!$AP$8+ManoDeObra!$E$8,0)</f>
        <v>57.443658536585367</v>
      </c>
      <c r="M8" s="169">
        <f>IF(PesoMatPrima!M8&gt;0,(PesoMatPrima!M8*Tela!$J$5)+Acc!$AP$8+ManoDeObra!$C$8,0)</f>
        <v>0</v>
      </c>
      <c r="N8" s="169">
        <f>IF(PesoMatPrima!N8&gt;0,(PesoMatPrima!N8*Tela!$J$5)+Acc!$AP$8+ManoDeObra!$C$8,0)</f>
        <v>0</v>
      </c>
      <c r="O8" s="169">
        <f>IF(PesoMatPrima!O8&gt;0,(PesoMatPrima!O8*Tela!$J$5)+Acc!$AP$8+ManoDeObra!$C$8,0)</f>
        <v>0</v>
      </c>
      <c r="P8" s="169">
        <f>IF(PesoMatPrima!P8&gt;0,(PesoMatPrima!P8*Tela!$J$5)+Acc!$AP$8+ManoDeObra!$C$8,0)</f>
        <v>0</v>
      </c>
      <c r="Q8" s="169">
        <f>IF(PesoMatPrima!Q8&gt;0,(PesoMatPrima!Q8*Tela!$J$5)+Acc!$AP$8+ManoDeObra!$C$8,0)</f>
        <v>0</v>
      </c>
    </row>
    <row r="9" spans="1:18" ht="20.25" customHeight="1" thickBot="1" x14ac:dyDescent="0.3">
      <c r="A9" s="150">
        <v>7</v>
      </c>
      <c r="B9" s="158" t="s">
        <v>7</v>
      </c>
      <c r="C9" s="168">
        <f>IF(PesoMatPrima!C9&gt;0,(PesoMatPrima!C9*Tela!$J$3)+Acc!$AP$9+ManoDeObra!$C$9,0)</f>
        <v>35.782679999999999</v>
      </c>
      <c r="D9" s="168">
        <f>IF(PesoMatPrima!D9&gt;0,(PesoMatPrima!D9*Tela!$J$3)+Acc!$AP$9+ManoDeObra!$C$9,0)</f>
        <v>36.515999999999998</v>
      </c>
      <c r="E9" s="168">
        <f>IF(PesoMatPrima!E9&gt;0,(PesoMatPrima!E9*Tela!$J$3)+Acc!$AP$9+ManoDeObra!$C$9,0)</f>
        <v>37.249319999999997</v>
      </c>
      <c r="F9" s="168">
        <f>IF(PesoMatPrima!F9&gt;0,(PesoMatPrima!F9*Tela!$J$3)+Acc!$AP$9+ManoDeObra!$C$9,0)</f>
        <v>38.92548</v>
      </c>
      <c r="G9" s="168">
        <f>IF(PesoMatPrima!G9&gt;0,(PesoMatPrima!G9*Tela!$J$3)+Acc!$AP$9+ManoDeObra!$C$9,0)</f>
        <v>40.601640000000003</v>
      </c>
      <c r="H9" s="168">
        <f>IF(PesoMatPrima!H9&gt;0,(PesoMatPrima!H9*Tela!$J$3)+Acc!$AP$9+ManoDeObra!$D$9,0)</f>
        <v>41.125439999999998</v>
      </c>
      <c r="I9" s="168">
        <f>IF(PesoMatPrima!I9&gt;0,(PesoMatPrima!I9*Tela!$J$3)+Acc!$AP$9+ManoDeObra!$D$9,0)</f>
        <v>41.649239999999999</v>
      </c>
      <c r="J9" s="168">
        <f>IF(PesoMatPrima!J9&gt;0,(PesoMatPrima!J9*Tela!$J$3)+Acc!$AP$9+ManoDeObra!$D$9,0)</f>
        <v>42.382559999999998</v>
      </c>
      <c r="K9" s="168">
        <f>IF(PesoMatPrima!K9&gt;0,(PesoMatPrima!K9*Tela!$J$3)+Acc!$AP$9+ManoDeObra!$D$9,0)</f>
        <v>0</v>
      </c>
      <c r="L9" s="168">
        <f>IF(PesoMatPrima!L9&gt;0,(PesoMatPrima!L9*Tela!$J$3)+Acc!$AP$9+ManoDeObra!$D$9,0)</f>
        <v>43.115880000000004</v>
      </c>
      <c r="M9" s="168">
        <f>IF(PesoMatPrima!M9&gt;0,(PesoMatPrima!M9*Tela!$J$3)+Acc!$AP$9+ManoDeObra!$E$9,0)</f>
        <v>43.849200000000003</v>
      </c>
      <c r="N9" s="168">
        <f>IF(PesoMatPrima!N9&gt;0,(PesoMatPrima!N9*Tela!$J$3)+Acc!$AP$9+ManoDeObra!$E$9,0)</f>
        <v>44.582520000000002</v>
      </c>
      <c r="O9" s="168">
        <f>IF(PesoMatPrima!O9&gt;0,(PesoMatPrima!O9*Tela!$J$3)+Acc!$AP$9+ManoDeObra!$E$9,0)</f>
        <v>45.525360000000006</v>
      </c>
      <c r="P9" s="168">
        <f>IF(PesoMatPrima!P9&gt;0,(PesoMatPrima!P9*Tela!$J$3)+Acc!$AP$9+ManoDeObra!$E$9,0)</f>
        <v>46.468200000000003</v>
      </c>
      <c r="Q9" s="168">
        <f>IF(PesoMatPrima!Q9&gt;0,(PesoMatPrima!Q9*Tela!$J$3)+Acc!$AP$9+ManoDeObra!$E$9,0)</f>
        <v>48.458640000000003</v>
      </c>
    </row>
    <row r="10" spans="1:18" ht="20.25" customHeight="1" thickBot="1" x14ac:dyDescent="0.3">
      <c r="A10" s="154">
        <v>8</v>
      </c>
      <c r="B10" s="160" t="s">
        <v>133</v>
      </c>
      <c r="C10" s="169">
        <f>IF(PesoMatPrima!C10&gt;0,(PesoMatPrima!C10*Tela!$J$3)+Acc!$AP$9+ManoDeObra!$C$10,0)</f>
        <v>37.854080000000003</v>
      </c>
      <c r="D10" s="169">
        <f>IF(PesoMatPrima!D10&gt;0,(PesoMatPrima!D10*Tela!$J$3)+Acc!$AP$9+ManoDeObra!$C$10,0)</f>
        <v>38.587400000000002</v>
      </c>
      <c r="E10" s="169">
        <f>IF(PesoMatPrima!E10&gt;0,(PesoMatPrima!E10*Tela!$J$3)+Acc!$AP$9+ManoDeObra!$C$10,0)</f>
        <v>39.320720000000001</v>
      </c>
      <c r="F10" s="169">
        <f>IF(PesoMatPrima!F10&gt;0,(PesoMatPrima!F10*Tela!$J$3)+Acc!$AP$9+ManoDeObra!$C$10,0)</f>
        <v>40.996880000000004</v>
      </c>
      <c r="G10" s="169">
        <f>IF(PesoMatPrima!G10&gt;0,(PesoMatPrima!G10*Tela!$J$3)+Acc!$AP$9+ManoDeObra!$C$10,0)</f>
        <v>43.720640000000003</v>
      </c>
      <c r="H10" s="169">
        <f>IF(PesoMatPrima!H10&gt;0,(PesoMatPrima!H10*Tela!$J$3)+Acc!$AP$9+ManoDeObra!$D$10,0)</f>
        <v>44.244439999999997</v>
      </c>
      <c r="I10" s="169">
        <f>IF(PesoMatPrima!I10&gt;0,(PesoMatPrima!I10*Tela!$J$3)+Acc!$AP$9+ManoDeObra!$D$10,0)</f>
        <v>44.768240000000006</v>
      </c>
      <c r="J10" s="169">
        <f>IF(PesoMatPrima!J10&gt;0,(PesoMatPrima!J10*Tela!$J$3)+Acc!$AP$9+ManoDeObra!$D$10,0)</f>
        <v>45.501559999999998</v>
      </c>
      <c r="K10" s="169">
        <f>IF(PesoMatPrima!K10&gt;0,(PesoMatPrima!K10*Tela!$J$3)+Acc!$AP$9+ManoDeObra!$D$10,0)</f>
        <v>0</v>
      </c>
      <c r="L10" s="169">
        <f>IF(PesoMatPrima!L10&gt;0,(PesoMatPrima!L10*Tela!$J$3)+Acc!$AP$9+ManoDeObra!$D$10,0)</f>
        <v>46.758679999999998</v>
      </c>
      <c r="M10" s="169">
        <f>IF(PesoMatPrima!M10&gt;0,(PesoMatPrima!M10*Tela!$J$3)+Acc!$AP$9+ManoDeObra!$E$10,0)</f>
        <v>47.492000000000004</v>
      </c>
      <c r="N10" s="169">
        <f>IF(PesoMatPrima!N10&gt;0,(PesoMatPrima!N10*Tela!$J$3)+Acc!$AP$9+ManoDeObra!$E$10,0)</f>
        <v>48.225319999999996</v>
      </c>
      <c r="O10" s="169">
        <f>IF(PesoMatPrima!O10&gt;0,(PesoMatPrima!O10*Tela!$J$3)+Acc!$AP$9+ManoDeObra!$E$10,0)</f>
        <v>49.16816</v>
      </c>
      <c r="P10" s="169">
        <f>IF(PesoMatPrima!P10&gt;0,(PesoMatPrima!P10*Tela!$J$3)+Acc!$AP$9+ManoDeObra!$E$10,0)</f>
        <v>50.111000000000004</v>
      </c>
      <c r="Q10" s="169">
        <f>IF(PesoMatPrima!Q10&gt;0,(PesoMatPrima!Q10*Tela!$J$3)+Acc!$AP$9+ManoDeObra!$E$10,0)</f>
        <v>52.101440000000004</v>
      </c>
    </row>
    <row r="11" spans="1:18" ht="20.25" customHeight="1" thickBot="1" x14ac:dyDescent="0.3">
      <c r="A11" s="150">
        <v>9</v>
      </c>
      <c r="B11" s="158" t="s">
        <v>8</v>
      </c>
      <c r="C11" s="168">
        <f>IF(PesoMatPrima!C11&gt;0,(PesoMatPrima!C11*Tela!$J$7)+Acc!$AP$10+ManoDeObra!$C$11,0)</f>
        <v>16.616958904109591</v>
      </c>
      <c r="D11" s="168">
        <f>IF(PesoMatPrima!D11&gt;0,(PesoMatPrima!D11*Tela!$J$7)+Acc!$AP$10+ManoDeObra!$C$11,0)</f>
        <v>16.879972602739727</v>
      </c>
      <c r="E11" s="168">
        <f>IF(PesoMatPrima!E11&gt;0,(PesoMatPrima!E11*Tela!$J$7)+Acc!$AP$10+ManoDeObra!$C$11,0)</f>
        <v>17.142986301369866</v>
      </c>
      <c r="F11" s="168">
        <f>IF(PesoMatPrima!F11&gt;0,(PesoMatPrima!F11*Tela!$J$7)+Acc!$AP$10+ManoDeObra!$C$11,0)</f>
        <v>17.340246575342469</v>
      </c>
      <c r="G11" s="168">
        <f>IF(PesoMatPrima!G11&gt;0,(PesoMatPrima!G11*Tela!$J$7)+Acc!$AP$10+ManoDeObra!$C$11,0)</f>
        <v>17.537506849315069</v>
      </c>
      <c r="H11" s="168">
        <f>IF(PesoMatPrima!H11&gt;0,(PesoMatPrima!H11*Tela!$J$7)+Acc!$AP$10+ManoDeObra!$D$11,0)</f>
        <v>17.866273972602741</v>
      </c>
      <c r="I11" s="168">
        <f>IF(PesoMatPrima!I11&gt;0,(PesoMatPrima!I11*Tela!$J$7)+Acc!$AP$10+ManoDeObra!$D$11,0)</f>
        <v>18.523808219178083</v>
      </c>
      <c r="J11" s="168">
        <f>IF(PesoMatPrima!J11&gt;0,(PesoMatPrima!J11*Tela!$J$7)+Acc!$AP$10+ManoDeObra!$D$11,0)</f>
        <v>19.049835616438358</v>
      </c>
      <c r="K11" s="168">
        <f>IF(PesoMatPrima!K11&gt;0,(PesoMatPrima!K11*Tela!$J$7)+Acc!$AP$10+ManoDeObra!$D$11,0)</f>
        <v>0</v>
      </c>
      <c r="L11" s="168">
        <f>IF(PesoMatPrima!L11&gt;0,(PesoMatPrima!L11*Tela!$J$7)+Acc!$AP$10+ManoDeObra!$D$11,0)</f>
        <v>19.510109589041097</v>
      </c>
      <c r="M11" s="168">
        <f>IF(PesoMatPrima!M11&gt;0,(PesoMatPrima!M11*Tela!$J$7)+Acc!$AP$10+ManoDeObra!$E$11,0)</f>
        <v>19.904630136986302</v>
      </c>
      <c r="N11" s="168">
        <f>IF(PesoMatPrima!N11&gt;0,(PesoMatPrima!N11*Tela!$J$7)+Acc!$AP$10+ManoDeObra!$E$11,0)</f>
        <v>20.299150684931508</v>
      </c>
      <c r="O11" s="168">
        <f>IF(PesoMatPrima!O11&gt;0,(PesoMatPrima!O11*Tela!$J$7)+Acc!$AP$10+ManoDeObra!$E$11,0)</f>
        <v>20.627917808219181</v>
      </c>
      <c r="P11" s="168">
        <f>IF(PesoMatPrima!P11&gt;0,(PesoMatPrima!P11*Tela!$J$7)+Acc!$AP$10+ManoDeObra!$E$11,0)</f>
        <v>21.219698630136989</v>
      </c>
      <c r="Q11" s="168">
        <f>IF(PesoMatPrima!Q11&gt;0,(PesoMatPrima!Q11*Tela!$J$7)+Acc!$AP$10+ManoDeObra!$E$11,0)</f>
        <v>21.745726027397261</v>
      </c>
    </row>
    <row r="12" spans="1:18" ht="20.25" customHeight="1" thickBot="1" x14ac:dyDescent="0.3">
      <c r="A12" s="154">
        <v>10</v>
      </c>
      <c r="B12" s="160" t="s">
        <v>134</v>
      </c>
      <c r="C12" s="169">
        <f>IF(PesoMatPrima!C12&gt;0,(PesoMatPrima!C12*Tela!$J$8)+Acc!$AP$11+ManoDeObra!$C$12,0)</f>
        <v>21.248799999999999</v>
      </c>
      <c r="D12" s="169">
        <f>IF(PesoMatPrima!D12&gt;0,(PesoMatPrima!D12*Tela!$J$8)+Acc!$AP$11+ManoDeObra!$C$12,0)</f>
        <v>22.285599999999999</v>
      </c>
      <c r="E12" s="169">
        <f>IF(PesoMatPrima!E12&gt;0,(PesoMatPrima!E12*Tela!$J$8)+Acc!$AP$11+ManoDeObra!$C$12,0)</f>
        <v>23.322400000000002</v>
      </c>
      <c r="F12" s="169">
        <f>IF(PesoMatPrima!F12&gt;0,(PesoMatPrima!F12*Tela!$J$8)+Acc!$AP$11+ManoDeObra!$C$12,0)</f>
        <v>24.359200000000001</v>
      </c>
      <c r="G12" s="169">
        <f>IF(PesoMatPrima!G12&gt;0,(PesoMatPrima!G12*Tela!$J$8)+Acc!$AP$11+ManoDeObra!$C$12,0)</f>
        <v>25.396000000000001</v>
      </c>
      <c r="H12" s="169">
        <f>IF(PesoMatPrima!H12&gt;0,(PesoMatPrima!H12*Tela!$J$8)+Acc!$AP$11+ManoDeObra!$D$12,0)</f>
        <v>28.4328</v>
      </c>
      <c r="I12" s="169">
        <f>IF(PesoMatPrima!I12&gt;0,(PesoMatPrima!I12*Tela!$J$8)+Acc!$AP$11+ManoDeObra!$D$12,0)</f>
        <v>29.4696</v>
      </c>
      <c r="J12" s="169">
        <f>IF(PesoMatPrima!J12&gt;0,(PesoMatPrima!J12*Tela!$J$8)+Acc!$AP$11+ManoDeObra!$D$12,0)</f>
        <v>30.506399999999999</v>
      </c>
      <c r="K12" s="169">
        <f>IF(PesoMatPrima!K12&gt;0,(PesoMatPrima!K12*Tela!$J$8)+Acc!$AP$11+ManoDeObra!$D$12,0)</f>
        <v>0</v>
      </c>
      <c r="L12" s="169">
        <f>IF(PesoMatPrima!L12&gt;0,(PesoMatPrima!L12*Tela!$J$8)+Acc!$AP$11+ManoDeObra!$D$12,0)</f>
        <v>31.543200000000002</v>
      </c>
      <c r="M12" s="169">
        <f>IF(PesoMatPrima!M12&gt;0,(PesoMatPrima!M12*Tela!$J$8)+Acc!$AP$11+ManoDeObra!$D$12,0)</f>
        <v>32.58</v>
      </c>
      <c r="N12" s="169">
        <f>IF(PesoMatPrima!N12&gt;0,(PesoMatPrima!N12*Tela!$J$8)+Acc!$AP$11+ManoDeObra!$D$12,0)</f>
        <v>33.876000000000005</v>
      </c>
      <c r="O12" s="169">
        <f>IF(PesoMatPrima!O12&gt;0,(PesoMatPrima!O12*Tela!$J$8)+Acc!$AP$11+ManoDeObra!$D$12,0)</f>
        <v>35.172000000000004</v>
      </c>
      <c r="P12" s="169">
        <f>IF(PesoMatPrima!P12&gt;0,(PesoMatPrima!P12*Tela!$J$8)+Acc!$AP$11+ManoDeObra!$D$12,0)</f>
        <v>36.338400000000007</v>
      </c>
      <c r="Q12" s="169">
        <f>IF(PesoMatPrima!Q12&gt;0,(PesoMatPrima!Q12*Tela!$J$8)+Acc!$AP$11+ManoDeObra!$D$12,0)</f>
        <v>37.764000000000003</v>
      </c>
    </row>
    <row r="13" spans="1:18" ht="20.25" customHeight="1" thickBot="1" x14ac:dyDescent="0.3">
      <c r="A13" s="150">
        <v>11</v>
      </c>
      <c r="B13" s="158" t="s">
        <v>135</v>
      </c>
      <c r="C13" s="168">
        <f>IF(PesoMatPrima!C13&gt;0,(PesoMatPrima!C13*Tela!$J$8)+Acc!$AP$11+ManoDeObra!$C$13,0)</f>
        <v>26.266400000000001</v>
      </c>
      <c r="D13" s="168">
        <f>IF(PesoMatPrima!D13&gt;0,(PesoMatPrima!D13*Tela!$J$8)+Acc!$AP$11+ManoDeObra!$C$13,0)</f>
        <v>27.9512</v>
      </c>
      <c r="E13" s="168">
        <f>IF(PesoMatPrima!E13&gt;0,(PesoMatPrima!E13*Tela!$J$8)+Acc!$AP$11+ManoDeObra!$C$13,0)</f>
        <v>29.636000000000003</v>
      </c>
      <c r="F13" s="168">
        <f>IF(PesoMatPrima!F13&gt;0,(PesoMatPrima!F13*Tela!$J$8)+Acc!$AP$11+ManoDeObra!$C$13,0)</f>
        <v>30.932000000000002</v>
      </c>
      <c r="G13" s="168">
        <f>IF(PesoMatPrima!G13&gt;0,(PesoMatPrima!G13*Tela!$J$8)+Acc!$AP$11+ManoDeObra!$C$13,0)</f>
        <v>32.228000000000002</v>
      </c>
      <c r="H13" s="168">
        <f>IF(PesoMatPrima!H13&gt;0,(PesoMatPrima!H13*Tela!$J$8)+Acc!$AP$11+ManoDeObra!$D$13,0)</f>
        <v>43.688800000000001</v>
      </c>
      <c r="I13" s="168">
        <f>IF(PesoMatPrima!I13&gt;0,(PesoMatPrima!I13*Tela!$J$8)+Acc!$AP$11+ManoDeObra!$D$13,0)</f>
        <v>46.54</v>
      </c>
      <c r="J13" s="168">
        <f>IF(PesoMatPrima!J13&gt;0,(PesoMatPrima!J13*Tela!$J$8)+Acc!$AP$11+ManoDeObra!$D$13,0)</f>
        <v>48.095200000000006</v>
      </c>
      <c r="K13" s="168">
        <f>IF(PesoMatPrima!K13&gt;0,(PesoMatPrima!K13*Tela!$J$8)+Acc!$AP$11+ManoDeObra!$D$13,0)</f>
        <v>0</v>
      </c>
      <c r="L13" s="168">
        <f>IF(PesoMatPrima!L13&gt;0,(PesoMatPrima!L13*Tela!$J$8)+Acc!$AP$11+ManoDeObra!$D$13,0)</f>
        <v>49.909600000000005</v>
      </c>
      <c r="M13" s="168">
        <f>IF(PesoMatPrima!M13&gt;0,(PesoMatPrima!M13*Tela!$J$8)+Acc!$AP$11+ManoDeObra!$E$13,0)</f>
        <v>52.428000000000004</v>
      </c>
      <c r="N13" s="168">
        <f>IF(PesoMatPrima!N13&gt;0,(PesoMatPrima!N13*Tela!$J$8)+Acc!$AP$11+ManoDeObra!$E$13,0)</f>
        <v>52.816800000000008</v>
      </c>
      <c r="O13" s="168">
        <f>IF(PesoMatPrima!O13&gt;0,(PesoMatPrima!O13*Tela!$J$8)+Acc!$AP$11+ManoDeObra!$E$13,0)</f>
        <v>53.724000000000004</v>
      </c>
      <c r="P13" s="168">
        <f>IF(PesoMatPrima!P13&gt;0,(PesoMatPrima!P13*Tela!$J$8)+Acc!$AP$11+ManoDeObra!$E$13,0)</f>
        <v>55.668000000000006</v>
      </c>
      <c r="Q13" s="168">
        <f>IF(PesoMatPrima!Q13&gt;0,(PesoMatPrima!Q13*Tela!$J$8)+Acc!$AP$11+ManoDeObra!$E$13,0)</f>
        <v>57.352800000000002</v>
      </c>
    </row>
    <row r="14" spans="1:18" ht="20.25" customHeight="1" thickBot="1" x14ac:dyDescent="0.3">
      <c r="A14" s="154">
        <v>12</v>
      </c>
      <c r="B14" s="160" t="s">
        <v>9</v>
      </c>
      <c r="C14" s="169">
        <f>IF(PesoMatPrima!C14&gt;0,(PesoMatPrima!C14*Tela!$J$5)+Acc!$AP$12+ManoDeObra!$C$14,0)</f>
        <v>0</v>
      </c>
      <c r="D14" s="169">
        <f>IF(PesoMatPrima!D14&gt;0,(PesoMatPrima!D14*Tela!$J$5)+Acc!$AP$12+ManoDeObra!$C$14,0)</f>
        <v>0</v>
      </c>
      <c r="E14" s="169">
        <f>IF(PesoMatPrima!E14&gt;0,(PesoMatPrima!E14*Tela!$J$5)+Acc!$AP$12+ManoDeObra!$C$14,0)</f>
        <v>0</v>
      </c>
      <c r="F14" s="169">
        <f>IF(PesoMatPrima!F14&gt;0,(PesoMatPrima!F14*Tela!$J$5)+Acc!$AP$12+ManoDeObra!$C$14,0)</f>
        <v>0</v>
      </c>
      <c r="G14" s="169">
        <f>IF(PesoMatPrima!G14&gt;0,(PesoMatPrima!G14*Tela!$J$5)+Acc!$AP$12+ManoDeObra!$C$14,0)</f>
        <v>0</v>
      </c>
      <c r="H14" s="169">
        <f>IF(PesoMatPrima!H14&gt;0,(PesoMatPrima!H14*Tela!$J$5)+Acc!$AP$12+ManoDeObra!$D$14,0)</f>
        <v>0</v>
      </c>
      <c r="I14" s="169">
        <f>IF(PesoMatPrima!I14&gt;0,(PesoMatPrima!I14*Tela!$J$5)+Acc!$AP$12+ManoDeObra!$D$14,0)</f>
        <v>0</v>
      </c>
      <c r="J14" s="169">
        <f>IF(PesoMatPrima!J14&gt;0,(PesoMatPrima!J14*Tela!$J$5)+Acc!$AP$12+ManoDeObra!$D$14,0)</f>
        <v>61.386097560975614</v>
      </c>
      <c r="K14" s="169">
        <f>IF(PesoMatPrima!K14&gt;0,(PesoMatPrima!K14*Tela!$J$5)+Acc!$AP$12+ManoDeObra!$D$14,0)</f>
        <v>63.475853658536593</v>
      </c>
      <c r="L14" s="169">
        <f>IF(PesoMatPrima!L14&gt;0,(PesoMatPrima!L14*Tela!$J$5)+Acc!$AP$12+ManoDeObra!$E$14,0)</f>
        <v>65.565609756097572</v>
      </c>
      <c r="M14" s="169">
        <f>IF(PesoMatPrima!M14&gt;0,(PesoMatPrima!M14*Tela!$J$5)+Acc!$AP$12+ManoDeObra!$E$14,0)</f>
        <v>67.409512195121962</v>
      </c>
      <c r="N14" s="169">
        <f>IF(PesoMatPrima!N14&gt;0,(PesoMatPrima!N14*Tela!$J$5)+Acc!$AP$12+ManoDeObra!$E$14,0)</f>
        <v>68.884634146341469</v>
      </c>
      <c r="O14" s="169">
        <f>IF(PesoMatPrima!O14&gt;0,(PesoMatPrima!O14*Tela!$J$5)+Acc!$AP$12+ManoDeObra!$E$14,0)</f>
        <v>69.622195121951222</v>
      </c>
      <c r="P14" s="169">
        <f>IF(PesoMatPrima!P14&gt;0,(PesoMatPrima!P14*Tela!$J$5)+Acc!$AP$12+ManoDeObra!$E$14,0)</f>
        <v>70.482682926829284</v>
      </c>
      <c r="Q14" s="169">
        <f>IF(PesoMatPrima!Q14&gt;0,(PesoMatPrima!Q14*Tela!$J$5)+Acc!$AP$12+ManoDeObra!$E$14,0)</f>
        <v>71.711951219512201</v>
      </c>
    </row>
    <row r="15" spans="1:18" ht="20.25" customHeight="1" thickBot="1" x14ac:dyDescent="0.3">
      <c r="A15" s="150">
        <v>13</v>
      </c>
      <c r="B15" s="158" t="s">
        <v>10</v>
      </c>
      <c r="C15" s="168">
        <f>IF(PesoMatPrima!C15&gt;0,(PesoMatPrima!C15*Tela!$J$6)+Acc!$AP$13+ManoDeObra!$C$15,0)</f>
        <v>43.010648967551624</v>
      </c>
      <c r="D15" s="168">
        <f>IF(PesoMatPrima!D15&gt;0,(PesoMatPrima!D15*Tela!$J$6)+Acc!$AP$13+ManoDeObra!$C$15,0)</f>
        <v>43.966401179941002</v>
      </c>
      <c r="E15" s="168">
        <f>IF(PesoMatPrima!E15&gt;0,(PesoMatPrima!E15*Tela!$J$6)+Acc!$AP$13+ManoDeObra!$C$15,0)</f>
        <v>44.762861356932156</v>
      </c>
      <c r="F15" s="168">
        <f>IF(PesoMatPrima!F15&gt;0,(PesoMatPrima!F15*Tela!$J$6)+Acc!$AP$13+ManoDeObra!$C$15,0)</f>
        <v>46.992949852507373</v>
      </c>
      <c r="G15" s="168">
        <f>IF(PesoMatPrima!G15&gt;0,(PesoMatPrima!G15*Tela!$J$6)+Acc!$AP$13+ManoDeObra!$C$15,0)</f>
        <v>48.585870206489673</v>
      </c>
      <c r="H15" s="168">
        <f>IF(PesoMatPrima!H15&gt;0,(PesoMatPrima!H15*Tela!$J$6)+Acc!$AP$13+ManoDeObra!$D$15,0)</f>
        <v>52.700914454277282</v>
      </c>
      <c r="I15" s="168">
        <f>IF(PesoMatPrima!I15&gt;0,(PesoMatPrima!I15*Tela!$J$6)+Acc!$AP$13+ManoDeObra!$D$15,0)</f>
        <v>53.019498525073743</v>
      </c>
      <c r="J15" s="168">
        <f>IF(PesoMatPrima!J15&gt;0,(PesoMatPrima!J15*Tela!$J$6)+Acc!$AP$13+ManoDeObra!$D$15,0)</f>
        <v>53.815958702064897</v>
      </c>
      <c r="K15" s="168">
        <f>IF(PesoMatPrima!K15&gt;0,(PesoMatPrima!K15*Tela!$J$6)+Acc!$AP$13+ManoDeObra!$D$15,0)</f>
        <v>54.771710914454282</v>
      </c>
      <c r="L15" s="168">
        <f>IF(PesoMatPrima!L15&gt;0,(PesoMatPrima!L15*Tela!$J$6)+Acc!$AP$13+ManoDeObra!$E$15,0)</f>
        <v>59.090294985250736</v>
      </c>
      <c r="M15" s="168">
        <f>IF(PesoMatPrima!M15&gt;0,(PesoMatPrima!M15*Tela!$J$6)+Acc!$AP$13+ManoDeObra!$E$15,0)</f>
        <v>59.568171091445429</v>
      </c>
      <c r="N15" s="168">
        <f>IF(PesoMatPrima!N15&gt;0,(PesoMatPrima!N15*Tela!$J$6)+Acc!$AP$13+ManoDeObra!$E$15,0)</f>
        <v>59.886755162241883</v>
      </c>
      <c r="O15" s="168">
        <f>IF(PesoMatPrima!O15&gt;0,(PesoMatPrima!O15*Tela!$J$6)+Acc!$AP$13+ManoDeObra!$E$15,0)</f>
        <v>61.161091445427729</v>
      </c>
      <c r="P15" s="168">
        <f>IF(PesoMatPrima!P15&gt;0,(PesoMatPrima!P15*Tela!$J$6)+Acc!$AP$13+ManoDeObra!$E$15,0)</f>
        <v>61.957551622418876</v>
      </c>
      <c r="Q15" s="168">
        <f>IF(PesoMatPrima!Q15&gt;0,(PesoMatPrima!Q15*Tela!$J$6)+Acc!$AP$13+ManoDeObra!$E$15,0)</f>
        <v>62.754011799410037</v>
      </c>
    </row>
    <row r="16" spans="1:18" ht="20.25" customHeight="1" thickBot="1" x14ac:dyDescent="0.3">
      <c r="A16" s="150">
        <v>14</v>
      </c>
      <c r="B16" s="158" t="s">
        <v>171</v>
      </c>
      <c r="C16" s="168">
        <f>IF(PesoMatPrima!C16&gt;0,(PesoMatPrima!C16*Tela!$J$6)+Acc!$AP$13+ManoDeObra!$C$15,0)</f>
        <v>43.64781710914454</v>
      </c>
      <c r="D16" s="168">
        <f>IF(PesoMatPrima!D16&gt;0,(PesoMatPrima!D16*Tela!$J$6)+Acc!$AP$13+ManoDeObra!$C$15,0)</f>
        <v>44.603569321533925</v>
      </c>
      <c r="E16" s="168">
        <f>IF(PesoMatPrima!E16&gt;0,(PesoMatPrima!E16*Tela!$J$6)+Acc!$AP$13+ManoDeObra!$C$15,0)</f>
        <v>45.400029498525072</v>
      </c>
      <c r="F16" s="168">
        <f>IF(PesoMatPrima!F16&gt;0,(PesoMatPrima!F16*Tela!$J$6)+Acc!$AP$13+ManoDeObra!$C$15,0)</f>
        <v>47.630117994100296</v>
      </c>
      <c r="G16" s="168">
        <f>IF(PesoMatPrima!G16&gt;0,(PesoMatPrima!G16*Tela!$J$6)+Acc!$AP$13+ManoDeObra!$C$15,0)</f>
        <v>49.382330383480827</v>
      </c>
      <c r="H16" s="168">
        <f>IF(PesoMatPrima!H16&gt;0,(PesoMatPrima!H16*Tela!$J$6)+Acc!$AP$13+ManoDeObra!$D$15,0)</f>
        <v>53.497374631268436</v>
      </c>
      <c r="I16" s="168">
        <f>IF(PesoMatPrima!I16&gt;0,(PesoMatPrima!I16*Tela!$J$6)+Acc!$AP$13+ManoDeObra!$D$15,0)</f>
        <v>53.815958702064897</v>
      </c>
      <c r="J16" s="168">
        <f>IF(PesoMatPrima!J16&gt;0,(PesoMatPrima!J16*Tela!$J$6)+Acc!$AP$13+ManoDeObra!$D$15,0)</f>
        <v>54.612418879056051</v>
      </c>
      <c r="K16" s="168">
        <f>IF(PesoMatPrima!K16&gt;0,(PesoMatPrima!K16*Tela!$J$6)+Acc!$AP$13+ManoDeObra!$D$15,0)</f>
        <v>55.568171091445429</v>
      </c>
      <c r="L16" s="168">
        <f>IF(PesoMatPrima!L16&gt;0,(PesoMatPrima!L16*Tela!$J$6)+Acc!$AP$13+ManoDeObra!$E$15,0)</f>
        <v>60.205339233038352</v>
      </c>
      <c r="M16" s="168">
        <f>IF(PesoMatPrima!M16&gt;0,(PesoMatPrima!M16*Tela!$J$6)+Acc!$AP$13+ManoDeObra!$E$15,0)</f>
        <v>60.683215339233037</v>
      </c>
      <c r="N16" s="168">
        <f>IF(PesoMatPrima!N16&gt;0,(PesoMatPrima!N16*Tela!$J$6)+Acc!$AP$13+ManoDeObra!$E$15,0)</f>
        <v>61.001799410029498</v>
      </c>
      <c r="O16" s="168">
        <f>IF(PesoMatPrima!O16&gt;0,(PesoMatPrima!O16*Tela!$J$6)+Acc!$AP$13+ManoDeObra!$E$15,0)</f>
        <v>62.276135693215338</v>
      </c>
      <c r="P16" s="168">
        <f>IF(PesoMatPrima!P16&gt;0,(PesoMatPrima!P16*Tela!$J$6)+Acc!$AP$13+ManoDeObra!$E$15,0)</f>
        <v>63.072595870206491</v>
      </c>
      <c r="Q16" s="168">
        <f>IF(PesoMatPrima!Q16&gt;0,(PesoMatPrima!Q16*Tela!$J$6)+Acc!$AP$13+ManoDeObra!$E$15,0)</f>
        <v>63.869056047197645</v>
      </c>
    </row>
    <row r="17" spans="1:17" ht="20.25" customHeight="1" thickBot="1" x14ac:dyDescent="0.3">
      <c r="A17" s="154">
        <v>15</v>
      </c>
      <c r="B17" s="160" t="s">
        <v>11</v>
      </c>
      <c r="C17" s="169">
        <f>IF(PesoMatPrima!C17&gt;0,(PesoMatPrima!C17*Tela!$J$10)+Acc!$AP$15+ManoDeObra!$C$17,0)</f>
        <v>11.185294117647059</v>
      </c>
      <c r="D17" s="169">
        <f>IF(PesoMatPrima!D17&gt;0,(PesoMatPrima!D17*Tela!$J$10)+Acc!$AP$15+ManoDeObra!$C$17,0)</f>
        <v>0</v>
      </c>
      <c r="E17" s="169">
        <f>IF(PesoMatPrima!E17&gt;0,(PesoMatPrima!E17*Tela!$J$10)+Acc!$AP$15+ManoDeObra!$C$17,0)</f>
        <v>0</v>
      </c>
      <c r="F17" s="169">
        <f>IF(PesoMatPrima!F17&gt;0,(PesoMatPrima!F17*Tela!$J$10)+Acc!$AP$15+ManoDeObra!$C$17,0)</f>
        <v>0</v>
      </c>
      <c r="G17" s="169">
        <f>IF(PesoMatPrima!G17&gt;0,(PesoMatPrima!G17*Tela!$J$10)+Acc!$AP$15+ManoDeObra!$C$17,0)</f>
        <v>0</v>
      </c>
      <c r="H17" s="169">
        <f>IF(PesoMatPrima!H17&gt;0,(PesoMatPrima!H17*Tela!$J$10)+Acc!$AP$15+ManoDeObra!$C$17,0)</f>
        <v>0</v>
      </c>
      <c r="I17" s="169">
        <f>IF(PesoMatPrima!I17&gt;0,(PesoMatPrima!I17*Tela!$J$10)+Acc!$AP$15+ManoDeObra!$C$17,0)</f>
        <v>0</v>
      </c>
      <c r="J17" s="169">
        <f>IF(PesoMatPrima!J17&gt;0,(PesoMatPrima!J17*Tela!$J$10)+Acc!$AP$15+ManoDeObra!$C$17,0)</f>
        <v>0</v>
      </c>
      <c r="K17" s="169">
        <f>IF(PesoMatPrima!K17&gt;0,(PesoMatPrima!K17*Tela!$J$10)+Acc!$AP$15+ManoDeObra!$C$17,0)</f>
        <v>0</v>
      </c>
      <c r="L17" s="169">
        <f>IF(PesoMatPrima!L17&gt;0,(PesoMatPrima!L17*Tela!$J$10)+Acc!$AP$15+ManoDeObra!$C$17,0)</f>
        <v>0</v>
      </c>
      <c r="M17" s="169">
        <f>IF(PesoMatPrima!M17&gt;0,(PesoMatPrima!M17*Tela!$J$10)+Acc!$AP$15+ManoDeObra!$C$17,0)</f>
        <v>0</v>
      </c>
      <c r="N17" s="169">
        <f>IF(PesoMatPrima!N17&gt;0,(PesoMatPrima!N17*Tela!$J$10)+Acc!$AP$15+ManoDeObra!$C$17,0)</f>
        <v>0</v>
      </c>
      <c r="O17" s="169">
        <f>IF(PesoMatPrima!O17&gt;0,(PesoMatPrima!O17*Tela!$J$10)+Acc!$AP$15+ManoDeObra!$C$17,0)</f>
        <v>0</v>
      </c>
      <c r="P17" s="169">
        <f>IF(PesoMatPrima!P17&gt;0,(PesoMatPrima!P17*Tela!$J$10)+Acc!$AP$15+ManoDeObra!$C$17,0)</f>
        <v>0</v>
      </c>
      <c r="Q17" s="169">
        <f>IF(PesoMatPrima!Q17&gt;0,(PesoMatPrima!Q17*Tela!$J$10)+Acc!$AP$15+ManoDeObra!$C$17,0)</f>
        <v>0</v>
      </c>
    </row>
    <row r="18" spans="1:17" ht="20.25" customHeight="1" thickBot="1" x14ac:dyDescent="0.3">
      <c r="A18" s="150">
        <v>16</v>
      </c>
      <c r="B18" s="158" t="s">
        <v>12</v>
      </c>
      <c r="C18" s="168">
        <f>IF(PesoMatPrima!C18&gt;0,(PesoMatPrima!C18*Tela!$J$10)+Acc!$AP$16+ManoDeObra!$C$18,0)</f>
        <v>60.202745098039216</v>
      </c>
      <c r="D18" s="168">
        <f>IF(PesoMatPrima!D18&gt;0,(PesoMatPrima!D18*Tela!$J$10)+Acc!$AP$16+ManoDeObra!$C$18,0)</f>
        <v>61.896862745098048</v>
      </c>
      <c r="E18" s="168">
        <f>IF(PesoMatPrima!E18&gt;0,(PesoMatPrima!E18*Tela!$J$10)+Acc!$AP$16+ManoDeObra!$C$18,0)</f>
        <v>63.590980392156865</v>
      </c>
      <c r="F18" s="168">
        <f>IF(PesoMatPrima!F18&gt;0,(PesoMatPrima!F18*Tela!$J$10)+Acc!$AP$16+ManoDeObra!$C$18,0)</f>
        <v>65.285098039215683</v>
      </c>
      <c r="G18" s="168">
        <f>IF(PesoMatPrima!G18&gt;0,(PesoMatPrima!G18*Tela!$J$10)+Acc!$AP$16+ManoDeObra!$C$18,0)</f>
        <v>66.979215686274514</v>
      </c>
      <c r="H18" s="168">
        <f>IF(PesoMatPrima!H18&gt;0,(PesoMatPrima!H18*Tela!$J$10)+Acc!$AP$16+ManoDeObra!$D$18,0)</f>
        <v>68.673333333333346</v>
      </c>
      <c r="I18" s="168">
        <f>IF(PesoMatPrima!I18&gt;0,(PesoMatPrima!I18*Tela!$J$10)+Acc!$AP$16+ManoDeObra!$D$18,0)</f>
        <v>70.579215686274523</v>
      </c>
      <c r="J18" s="168">
        <f>IF(PesoMatPrima!J18&gt;0,(PesoMatPrima!J18*Tela!$J$10)+Acc!$AP$16+ManoDeObra!$D$18,0)</f>
        <v>72.273333333333341</v>
      </c>
      <c r="K18" s="168">
        <f>IF(PesoMatPrima!K18&gt;0,(PesoMatPrima!K18*Tela!$J$10)+Acc!$AP$16+ManoDeObra!$D$18,0)</f>
        <v>0</v>
      </c>
      <c r="L18" s="168">
        <f>IF(PesoMatPrima!L18&gt;0,(PesoMatPrima!L18*Tela!$J$10)+Acc!$AP$16+ManoDeObra!$D$18,0)</f>
        <v>73.967450980392158</v>
      </c>
      <c r="M18" s="168">
        <f>IF(PesoMatPrima!M18&gt;0,(PesoMatPrima!M18*Tela!$J$10)+Acc!$AP$16+ManoDeObra!$D$18,0)</f>
        <v>75.66156862745099</v>
      </c>
      <c r="N18" s="168">
        <f>IF(PesoMatPrima!N18&gt;0,(PesoMatPrima!N18*Tela!$J$10)+Acc!$AP$16+ManoDeObra!$D$18,0)</f>
        <v>77.355686274509821</v>
      </c>
      <c r="O18" s="168">
        <f>IF(PesoMatPrima!O18&gt;0,(PesoMatPrima!O18*Tela!$J$10)+Acc!$AP$16+ManoDeObra!$D$18,0)</f>
        <v>79.049803921568639</v>
      </c>
      <c r="P18" s="168">
        <f>IF(PesoMatPrima!P18&gt;0,(PesoMatPrima!P18*Tela!$J$10)+Acc!$AP$16+ManoDeObra!$D$18,0)</f>
        <v>80.743921568627457</v>
      </c>
      <c r="Q18" s="168">
        <f>IF(PesoMatPrima!Q18&gt;0,(PesoMatPrima!Q18*Tela!$J$10)+Acc!$AP$16+ManoDeObra!$D$18,0)</f>
        <v>82.438039215686274</v>
      </c>
    </row>
    <row r="19" spans="1:17" ht="20.25" customHeight="1" thickBot="1" x14ac:dyDescent="0.3">
      <c r="A19" s="154">
        <v>17</v>
      </c>
      <c r="B19" s="160" t="s">
        <v>13</v>
      </c>
      <c r="C19" s="169">
        <f>IF(PesoMatPrima!C19&gt;0,(PesoMatPrima!C19*Tela!$J$10)+Acc!$AP$17+ManoDeObra!$C$19,0)</f>
        <v>48.567450980392167</v>
      </c>
      <c r="D19" s="169">
        <f>IF(PesoMatPrima!D19&gt;0,(PesoMatPrima!D19*Tela!$J$10)+Acc!$AP$17+ManoDeObra!$C$19,0)</f>
        <v>51.1086274509804</v>
      </c>
      <c r="E19" s="169">
        <f>IF(PesoMatPrima!E19&gt;0,(PesoMatPrima!E19*Tela!$J$10)+Acc!$AP$17+ManoDeObra!$C$19,0)</f>
        <v>53.649803921568633</v>
      </c>
      <c r="F19" s="169">
        <f>IF(PesoMatPrima!F19&gt;0,(PesoMatPrima!F19*Tela!$J$10)+Acc!$AP$17+ManoDeObra!$C$19,0)</f>
        <v>56.190980392156867</v>
      </c>
      <c r="G19" s="169">
        <f>IF(PesoMatPrima!G19&gt;0,(PesoMatPrima!G19*Tela!$J$10)+Acc!$AP$17+ManoDeObra!$C$19,0)</f>
        <v>58.732156862745107</v>
      </c>
      <c r="H19" s="169">
        <f>IF(PesoMatPrima!H19&gt;0,(PesoMatPrima!H19*Tela!$J$10)+Acc!$AP$17+ManoDeObra!$D$19,0)</f>
        <v>61.273333333333341</v>
      </c>
      <c r="I19" s="169">
        <f>IF(PesoMatPrima!I19&gt;0,(PesoMatPrima!I19*Tela!$J$10)+Acc!$AP$17+ManoDeObra!$D$19,0)</f>
        <v>0</v>
      </c>
      <c r="J19" s="169">
        <f>IF(PesoMatPrima!J19&gt;0,(PesoMatPrima!J19*Tela!$J$10)+Acc!$AP$17+ManoDeObra!$D$19,0)</f>
        <v>0</v>
      </c>
      <c r="K19" s="169">
        <f>IF(PesoMatPrima!K19&gt;0,(PesoMatPrima!K19*Tela!$J$10)+Acc!$AP$17+ManoDeObra!$D$19,0)</f>
        <v>0</v>
      </c>
      <c r="L19" s="169">
        <f>IF(PesoMatPrima!L19&gt;0,(PesoMatPrima!L19*Tela!$J$10)+Acc!$AP$17+ManoDeObra!$E$19,0)</f>
        <v>0</v>
      </c>
      <c r="M19" s="169">
        <f>IF(PesoMatPrima!M19&gt;0,(PesoMatPrima!M19*Tela!$J$10)+Acc!$AP$17+ManoDeObra!$E$19,0)</f>
        <v>0</v>
      </c>
      <c r="N19" s="169">
        <f>IF(PesoMatPrima!N19&gt;0,(PesoMatPrima!N19*Tela!$J$10)+Acc!$AP$17+ManoDeObra!$E$19,0)</f>
        <v>0</v>
      </c>
      <c r="O19" s="169">
        <f>IF(PesoMatPrima!O19&gt;0,(PesoMatPrima!O19*Tela!$J$10)+Acc!$AP$17+ManoDeObra!$E$19,0)</f>
        <v>0</v>
      </c>
      <c r="P19" s="169">
        <f>IF(PesoMatPrima!P19&gt;0,(PesoMatPrima!P19*Tela!$J$10)+Acc!$AP$17+ManoDeObra!$E$19,0)</f>
        <v>0</v>
      </c>
      <c r="Q19" s="169">
        <f>IF(PesoMatPrima!Q19&gt;0,(PesoMatPrima!Q19*Tela!$J$10)+Acc!$AP$17+ManoDeObra!$E$19,0)</f>
        <v>0</v>
      </c>
    </row>
    <row r="20" spans="1:17" ht="20.25" customHeight="1" thickBot="1" x14ac:dyDescent="0.3">
      <c r="A20" s="150">
        <v>18</v>
      </c>
      <c r="B20" s="158" t="s">
        <v>14</v>
      </c>
      <c r="C20" s="168">
        <f>IF(PesoMatPrima!C20&gt;0,(PesoMatPrima!C20*Tela!$J$10)+Acc!$AP$18+ManoDeObra!$C$20,0)</f>
        <v>60.343921568627458</v>
      </c>
      <c r="D20" s="168">
        <f>IF(PesoMatPrima!D20&gt;0,(PesoMatPrima!D20*Tela!$J$10)+Acc!$AP$18+ManoDeObra!$C$20,0)</f>
        <v>64.367450980392164</v>
      </c>
      <c r="E20" s="168">
        <f>IF(PesoMatPrima!E20&gt;0,(PesoMatPrima!E20*Tela!$J$10)+Acc!$AP$18+ManoDeObra!$C$20,0)</f>
        <v>68.390980392156877</v>
      </c>
      <c r="F20" s="168">
        <f>IF(PesoMatPrima!F20&gt;0,(PesoMatPrima!F20*Tela!$J$10)+Acc!$AP$18+ManoDeObra!$C$20,0)</f>
        <v>72.414509803921575</v>
      </c>
      <c r="G20" s="168">
        <f>IF(PesoMatPrima!G20&gt;0,(PesoMatPrima!G20*Tela!$J$10)+Acc!$AP$18+ManoDeObra!$C$20,0)</f>
        <v>76.438039215686288</v>
      </c>
      <c r="H20" s="168">
        <f>IF(PesoMatPrima!H20&gt;0,(PesoMatPrima!H20*Tela!$J$10)+Acc!$AP$18+ManoDeObra!$C$20,0)</f>
        <v>80.461568627450987</v>
      </c>
      <c r="I20" s="168">
        <f>IF(PesoMatPrima!I20&gt;0,(PesoMatPrima!I20*Tela!$J$10)+Acc!$AP$18+ManoDeObra!$C$20,0)</f>
        <v>0</v>
      </c>
      <c r="J20" s="168">
        <f>IF(PesoMatPrima!J20&gt;0,(PesoMatPrima!J20*Tela!$J$10)+Acc!$AP$18+ManoDeObra!$C$20,0)</f>
        <v>0</v>
      </c>
      <c r="K20" s="168">
        <f>IF(PesoMatPrima!K20&gt;0,(PesoMatPrima!K20*Tela!$J$10)+Acc!$AP$18+ManoDeObra!$C$20,0)</f>
        <v>0</v>
      </c>
      <c r="L20" s="168">
        <f>IF(PesoMatPrima!L20&gt;0,(PesoMatPrima!L20*Tela!$J$10)+Acc!$AP$18+ManoDeObra!$C$20,0)</f>
        <v>0</v>
      </c>
      <c r="M20" s="168">
        <f>IF(PesoMatPrima!M20&gt;0,(PesoMatPrima!M20*Tela!$J$10)+Acc!$AP$18+ManoDeObra!$C$20,0)</f>
        <v>0</v>
      </c>
      <c r="N20" s="168">
        <f>IF(PesoMatPrima!N20&gt;0,(PesoMatPrima!N20*Tela!$J$10)+Acc!$AP$18+ManoDeObra!$C$20,0)</f>
        <v>0</v>
      </c>
      <c r="O20" s="168">
        <f>IF(PesoMatPrima!O20&gt;0,(PesoMatPrima!O20*Tela!$J$10)+Acc!$AP$18+ManoDeObra!$C$20,0)</f>
        <v>0</v>
      </c>
      <c r="P20" s="168">
        <f>IF(PesoMatPrima!P20&gt;0,(PesoMatPrima!P20*Tela!$J$10)+Acc!$AP$18+ManoDeObra!$C$20,0)</f>
        <v>0</v>
      </c>
      <c r="Q20" s="168">
        <f>IF(PesoMatPrima!Q20&gt;0,(PesoMatPrima!Q20*Tela!$J$10)+Acc!$AP$18+ManoDeObra!$C$20,0)</f>
        <v>0</v>
      </c>
    </row>
    <row r="21" spans="1:17" ht="20.25" customHeight="1" thickBot="1" x14ac:dyDescent="0.3">
      <c r="A21" s="154">
        <v>19</v>
      </c>
      <c r="B21" s="160" t="s">
        <v>132</v>
      </c>
      <c r="C21" s="169">
        <f>IF(Semit.!C3&gt;0,Semit.!C3+Acc!$AP$19,0)</f>
        <v>57.839999999999996</v>
      </c>
      <c r="D21" s="169">
        <f>IF(Semit.!D3&gt;0,Semit.!D3+Acc!$AP$19,0)</f>
        <v>57.839999999999996</v>
      </c>
      <c r="E21" s="169">
        <f>IF(Semit.!E3&gt;0,Semit.!E3+Acc!$AP$19,0)</f>
        <v>62.839999999999996</v>
      </c>
      <c r="F21" s="169">
        <f>IF(Semit.!F3&gt;0,Semit.!F3+Acc!$AP$19,0)</f>
        <v>67.84</v>
      </c>
      <c r="G21" s="169">
        <f>IF(Semit.!G3&gt;0,Semit.!G3+Acc!$AP$19,0)</f>
        <v>72.84</v>
      </c>
      <c r="H21" s="169">
        <f>IF(Semit.!H3&gt;0,Semit.!H3+Acc!$AP$19,0)</f>
        <v>77.84</v>
      </c>
      <c r="I21" s="169">
        <f>IF(Semit.!I3&gt;0,Semit.!I3+Acc!$AP$19,0)</f>
        <v>82.84</v>
      </c>
      <c r="J21" s="169">
        <f>IF(Semit.!J3&gt;0,Semit.!J3+Acc!$AP$19,0)</f>
        <v>87.84</v>
      </c>
      <c r="K21" s="169">
        <f>IF(Semit.!K3&gt;0,Semit.!K3+Acc!$AP$19,0)</f>
        <v>0</v>
      </c>
      <c r="L21" s="169">
        <f>IF(Semit.!L3&gt;0,Semit.!L3+Acc!$AP$19,0)</f>
        <v>97.84</v>
      </c>
      <c r="M21" s="169">
        <f>IF(Semit.!M3&gt;0,Semit.!M3+Acc!$AP$19,0)</f>
        <v>107.84</v>
      </c>
      <c r="N21" s="169">
        <f>IF(Semit.!N3&gt;0,Semit.!N3+Acc!$AP$19,0)</f>
        <v>117.84</v>
      </c>
      <c r="O21" s="169">
        <f>IF(Semit.!O3&gt;0,Semit.!O3+Acc!$AP$19,0)</f>
        <v>127.84</v>
      </c>
      <c r="P21" s="169">
        <f>IF(Semit.!P3&gt;0,Semit.!P3+Acc!$AP$19,0)</f>
        <v>137.84</v>
      </c>
      <c r="Q21" s="169">
        <f>IF(Semit.!Q3&gt;0,Semit.!Q3+Acc!$AP$19,0)</f>
        <v>147.84</v>
      </c>
    </row>
    <row r="22" spans="1:17" ht="20.25" customHeight="1" thickBot="1" x14ac:dyDescent="0.3">
      <c r="A22" s="150">
        <v>20</v>
      </c>
      <c r="B22" s="158" t="s">
        <v>131</v>
      </c>
      <c r="C22" s="168">
        <f>IF(Semit.!C4&gt;0,Semit.!C4+Acc!$AP$20,0)</f>
        <v>52.839999999999996</v>
      </c>
      <c r="D22" s="168">
        <f>IF(Semit.!D4&gt;0,Semit.!D4+Acc!$AP$20,0)</f>
        <v>52.839999999999996</v>
      </c>
      <c r="E22" s="168">
        <f>IF(Semit.!E4&gt;0,Semit.!E4+Acc!$AP$20,0)</f>
        <v>57.839999999999996</v>
      </c>
      <c r="F22" s="168">
        <f>IF(Semit.!F4&gt;0,Semit.!F4+Acc!$AP$20,0)</f>
        <v>62.839999999999996</v>
      </c>
      <c r="G22" s="168">
        <f>IF(Semit.!G4&gt;0,Semit.!G4+Acc!$AP$20,0)</f>
        <v>67.84</v>
      </c>
      <c r="H22" s="168">
        <f>IF(Semit.!H4&gt;0,Semit.!H4+Acc!$AP$20,0)</f>
        <v>72.84</v>
      </c>
      <c r="I22" s="168">
        <f>IF(Semit.!I4&gt;0,Semit.!I4+Acc!$AP$20,0)</f>
        <v>77.84</v>
      </c>
      <c r="J22" s="168">
        <f>IF(Semit.!J4&gt;0,Semit.!J4+Acc!$AP$20,0)</f>
        <v>82.84</v>
      </c>
      <c r="K22" s="168">
        <f>IF(Semit.!K4&gt;0,Semit.!K4+Acc!$AP$20,0)</f>
        <v>0</v>
      </c>
      <c r="L22" s="168">
        <f>IF(Semit.!L4&gt;0,Semit.!L4+Acc!$AP$20,0)</f>
        <v>92.84</v>
      </c>
      <c r="M22" s="168">
        <f>IF(Semit.!M4&gt;0,Semit.!M4+Acc!$AP$20,0)</f>
        <v>102.84</v>
      </c>
      <c r="N22" s="168">
        <f>IF(Semit.!N4&gt;0,Semit.!N4+Acc!$AP$20,0)</f>
        <v>112.84</v>
      </c>
      <c r="O22" s="168">
        <f>IF(Semit.!O4&gt;0,Semit.!O4+Acc!$AP$20,0)</f>
        <v>122.84</v>
      </c>
      <c r="P22" s="168">
        <f>IF(Semit.!P4&gt;0,Semit.!P4+Acc!$AP$20,0)</f>
        <v>132.84</v>
      </c>
      <c r="Q22" s="168">
        <f>IF(Semit.!Q4&gt;0,Semit.!Q4+Acc!$AP$20,0)</f>
        <v>142.84</v>
      </c>
    </row>
    <row r="23" spans="1:17" ht="20.25" customHeight="1" thickBot="1" x14ac:dyDescent="0.3">
      <c r="A23" s="154">
        <v>21</v>
      </c>
      <c r="B23" s="160" t="s">
        <v>129</v>
      </c>
      <c r="C23" s="169">
        <f>IF(PesoMatPrima!C23&gt;0,(PesoMatPrima!C23*Tela!$J$9)+Acc!$AP$21+ManoDeObra!$C$23,0)</f>
        <v>113.72804597701149</v>
      </c>
      <c r="D23" s="169">
        <f>IF(PesoMatPrima!D23&gt;0,(PesoMatPrima!D23*Tela!$J$9)+Acc!$AP$21+ManoDeObra!$C$23,0)</f>
        <v>115.63977011494254</v>
      </c>
      <c r="E23" s="169">
        <f>IF(PesoMatPrima!E23&gt;0,(PesoMatPrima!E23*Tela!$J$9)+Acc!$AP$21+ManoDeObra!$C$23,0)</f>
        <v>117.55149425287357</v>
      </c>
      <c r="F23" s="169">
        <f>IF(PesoMatPrima!F23&gt;0,(PesoMatPrima!F23*Tela!$J$9)+Acc!$AP$21+ManoDeObra!$C$23,0)</f>
        <v>119.4632183908046</v>
      </c>
      <c r="G23" s="169">
        <f>IF(PesoMatPrima!G23&gt;0,(PesoMatPrima!G23*Tela!$J$9)+Acc!$AP$21+ManoDeObra!$C$23,0)</f>
        <v>121.37494252873563</v>
      </c>
      <c r="H23" s="169">
        <f>IF(PesoMatPrima!H23&gt;0,(PesoMatPrima!H23*Tela!$J$9)+Acc!$AP$21+ManoDeObra!$D$23,0)</f>
        <v>128.28666666666666</v>
      </c>
      <c r="I23" s="169">
        <f>IF(PesoMatPrima!I23&gt;0,(PesoMatPrima!I23*Tela!$J$9)+Acc!$AP$21+ManoDeObra!$D$23,0)</f>
        <v>130.19839080459769</v>
      </c>
      <c r="J23" s="169">
        <f>IF(PesoMatPrima!J23&gt;0,(PesoMatPrima!J23*Tela!$J$9)+Acc!$AP$21+ManoDeObra!$D$23,0)</f>
        <v>132.11011494252872</v>
      </c>
      <c r="K23" s="169">
        <f>IF(PesoMatPrima!K23&gt;0,(PesoMatPrima!K23*Tela!$J$9)+Acc!$AP$21+ManoDeObra!$D$23,0)</f>
        <v>0</v>
      </c>
      <c r="L23" s="169">
        <f>IF(PesoMatPrima!L23&gt;0,(PesoMatPrima!L23*Tela!$J$9)+Acc!$AP$21+ManoDeObra!$D$23,0)</f>
        <v>133.67425287356323</v>
      </c>
      <c r="M23" s="169">
        <f>IF(PesoMatPrima!M23&gt;0,(PesoMatPrima!M23*Tela!$J$9)+Acc!$AP$21+ManoDeObra!$E$23,0)</f>
        <v>140.23839080459771</v>
      </c>
      <c r="N23" s="169">
        <f>IF(PesoMatPrima!N23&gt;0,(PesoMatPrima!N23*Tela!$J$9)+Acc!$AP$21+ManoDeObra!$E$23,0)</f>
        <v>142.15011494252875</v>
      </c>
      <c r="O23" s="169">
        <f>IF(PesoMatPrima!O23&gt;0,(PesoMatPrima!O23*Tela!$J$9)+Acc!$AP$21+ManoDeObra!$E$23,0)</f>
        <v>143.54045977011495</v>
      </c>
      <c r="P23" s="169">
        <f>IF(PesoMatPrima!P23&gt;0,(PesoMatPrima!P23*Tela!$J$9)+Acc!$AP$21+ManoDeObra!$E$23,0)</f>
        <v>145.10459770114943</v>
      </c>
      <c r="Q23" s="169">
        <f>IF(PesoMatPrima!Q23&gt;0,(PesoMatPrima!Q23*Tela!$J$9)+Acc!$AP$21+ManoDeObra!$E$23,0)</f>
        <v>146.84252873563219</v>
      </c>
    </row>
    <row r="24" spans="1:17" ht="20.25" customHeight="1" thickBot="1" x14ac:dyDescent="0.3">
      <c r="A24" s="154">
        <v>22</v>
      </c>
      <c r="B24" s="160" t="s">
        <v>172</v>
      </c>
      <c r="C24" s="169">
        <f>IF(PesoMatPrima!C24&gt;0,(PesoMatPrima!C24*Tela!$J$9)+Acc!$AP$21+ManoDeObra!$C$23,0)</f>
        <v>113.72804597701149</v>
      </c>
      <c r="D24" s="169">
        <f>IF(PesoMatPrima!D24&gt;0,(PesoMatPrima!D24*Tela!$J$9)+Acc!$AP$21+ManoDeObra!$C$23,0)</f>
        <v>115.63977011494254</v>
      </c>
      <c r="E24" s="169">
        <f>IF(PesoMatPrima!E24&gt;0,(PesoMatPrima!E24*Tela!$J$9)+Acc!$AP$21+ManoDeObra!$C$23,0)</f>
        <v>117.55149425287357</v>
      </c>
      <c r="F24" s="169">
        <f>IF(PesoMatPrima!F24&gt;0,(PesoMatPrima!F24*Tela!$J$9)+Acc!$AP$21+ManoDeObra!$C$23,0)</f>
        <v>119.4632183908046</v>
      </c>
      <c r="G24" s="169">
        <f>IF(PesoMatPrima!G24&gt;0,(PesoMatPrima!G24*Tela!$J$9)+Acc!$AP$21+ManoDeObra!$C$23,0)</f>
        <v>121.37494252873563</v>
      </c>
      <c r="H24" s="169">
        <f>IF(PesoMatPrima!H24&gt;0,(PesoMatPrima!H24*Tela!$J$9)+Acc!$AP$21+ManoDeObra!$D$23,0)</f>
        <v>128.28666666666666</v>
      </c>
      <c r="I24" s="169">
        <f>IF(PesoMatPrima!I24&gt;0,(PesoMatPrima!I24*Tela!$J$9)+Acc!$AP$21+ManoDeObra!$D$23,0)</f>
        <v>130.19839080459769</v>
      </c>
      <c r="J24" s="169">
        <f>IF(PesoMatPrima!J24&gt;0,(PesoMatPrima!J24*Tela!$J$9)+Acc!$AP$21+ManoDeObra!$D$23,0)</f>
        <v>132.11011494252872</v>
      </c>
      <c r="K24" s="169">
        <f>IF(PesoMatPrima!K24&gt;0,(PesoMatPrima!K24*Tela!$J$9)+Acc!$AP$21+ManoDeObra!$D$23,0)</f>
        <v>0</v>
      </c>
      <c r="L24" s="169">
        <f>IF(PesoMatPrima!L24&gt;0,(PesoMatPrima!L24*Tela!$J$9)+Acc!$AP$21+ManoDeObra!$D$23,0)</f>
        <v>133.67425287356323</v>
      </c>
      <c r="M24" s="169">
        <f>IF(PesoMatPrima!M24&gt;0,(PesoMatPrima!M24*Tela!$J$9)+Acc!$AP$21+ManoDeObra!$E$23,0)</f>
        <v>140.23839080459771</v>
      </c>
      <c r="N24" s="169">
        <f>IF(PesoMatPrima!N24&gt;0,(PesoMatPrima!N24*Tela!$J$9)+Acc!$AP$21+ManoDeObra!$E$23,0)</f>
        <v>142.15011494252875</v>
      </c>
      <c r="O24" s="169">
        <f>IF(PesoMatPrima!O24&gt;0,(PesoMatPrima!O24*Tela!$J$9)+Acc!$AP$21+ManoDeObra!$E$23,0)</f>
        <v>143.54045977011495</v>
      </c>
      <c r="P24" s="169">
        <f>IF(PesoMatPrima!P24&gt;0,(PesoMatPrima!P24*Tela!$J$9)+Acc!$AP$21+ManoDeObra!$E$23,0)</f>
        <v>145.10459770114943</v>
      </c>
      <c r="Q24" s="169">
        <f>IF(PesoMatPrima!Q24&gt;0,(PesoMatPrima!Q24*Tela!$J$9)+Acc!$AP$21+ManoDeObra!$E$23,0)</f>
        <v>146.84252873563219</v>
      </c>
    </row>
    <row r="25" spans="1:17" ht="20.25" customHeight="1" thickBot="1" x14ac:dyDescent="0.3">
      <c r="A25" s="150">
        <v>23</v>
      </c>
      <c r="B25" s="158" t="s">
        <v>128</v>
      </c>
      <c r="C25" s="168">
        <f>IF(PesoMatPrima!C25&gt;0,(PesoMatPrima!C25*Tela!$J$9)+Acc!$AP$23+ManoDeObra!$C$25,0)</f>
        <v>120.82018390804598</v>
      </c>
      <c r="D25" s="168">
        <f>IF(PesoMatPrima!D25&gt;0,(PesoMatPrima!D25*Tela!$J$9)+Acc!$AP$23+ManoDeObra!$C$25,0)</f>
        <v>122.92308045977012</v>
      </c>
      <c r="E25" s="168">
        <f>IF(PesoMatPrima!E25&gt;0,(PesoMatPrima!E25*Tela!$J$9)+Acc!$AP$23+ManoDeObra!$C$25,0)</f>
        <v>125.02597701149426</v>
      </c>
      <c r="F25" s="168">
        <f>IF(PesoMatPrima!F25&gt;0,(PesoMatPrima!F25*Tela!$J$9)+Acc!$AP$23+ManoDeObra!$C$25,0)</f>
        <v>127.12887356321841</v>
      </c>
      <c r="G25" s="168">
        <f>IF(PesoMatPrima!G25&gt;0,(PesoMatPrima!G25*Tela!$J$9)+Acc!$AP$23+ManoDeObra!$C$25,0)</f>
        <v>129.23177011494252</v>
      </c>
      <c r="H25" s="168">
        <f>IF(PesoMatPrima!H25&gt;0,(PesoMatPrima!H25*Tela!$J$9)+Acc!$AP$23+ManoDeObra!$D$25,0)</f>
        <v>136.33466666666666</v>
      </c>
      <c r="I25" s="168">
        <f>IF(PesoMatPrima!I25&gt;0,(PesoMatPrima!I25*Tela!$J$9)+Acc!$AP$23+ManoDeObra!$D$25,0)</f>
        <v>138.43756321839081</v>
      </c>
      <c r="J25" s="168">
        <f>IF(PesoMatPrima!J25&gt;0,(PesoMatPrima!J25*Tela!$J$9)+Acc!$AP$23+ManoDeObra!$D$25,0)</f>
        <v>140.54045977011495</v>
      </c>
      <c r="K25" s="168">
        <f>IF(PesoMatPrima!K25&gt;0,(PesoMatPrima!K25*Tela!$J$9)+Acc!$AP$23+ManoDeObra!$D$25,0)</f>
        <v>0</v>
      </c>
      <c r="L25" s="168">
        <f>IF(PesoMatPrima!L25&gt;0,(PesoMatPrima!L25*Tela!$J$9)+Acc!$AP$23+ManoDeObra!$D$25,0)</f>
        <v>142.26101149425287</v>
      </c>
      <c r="M25" s="168">
        <f>IF(PesoMatPrima!M25&gt;0,(PesoMatPrima!M25*Tela!$J$9)+Acc!$AP$23+ManoDeObra!$E$25,0)</f>
        <v>148.98156321839082</v>
      </c>
      <c r="N25" s="168">
        <f>IF(PesoMatPrima!N25&gt;0,(PesoMatPrima!N25*Tela!$J$9)+Acc!$AP$23+ManoDeObra!$E$25,0)</f>
        <v>151.08445977011496</v>
      </c>
      <c r="O25" s="168">
        <f>IF(PesoMatPrima!O25&gt;0,(PesoMatPrima!O25*Tela!$J$9)+Acc!$AP$23+ManoDeObra!$E$25,0)</f>
        <v>152.61383908045977</v>
      </c>
      <c r="P25" s="168">
        <f>IF(PesoMatPrima!P25&gt;0,(PesoMatPrima!P25*Tela!$J$9)+Acc!$AP$23+ManoDeObra!$E$25,0)</f>
        <v>154.33439080459772</v>
      </c>
      <c r="Q25" s="168">
        <f>IF(PesoMatPrima!Q25&gt;0,(PesoMatPrima!Q25*Tela!$J$9)+Acc!$AP$23+ManoDeObra!$E$25,0)</f>
        <v>156.24611494252875</v>
      </c>
    </row>
    <row r="26" spans="1:17" ht="20.25" customHeight="1" thickBot="1" x14ac:dyDescent="0.3">
      <c r="A26" s="154">
        <v>24</v>
      </c>
      <c r="B26" s="160" t="s">
        <v>130</v>
      </c>
      <c r="C26" s="169">
        <f>IF(PesoMatPrima!C26&gt;0,(PesoMatPrima!C26*Tela!$J$9)+Acc!$AP$24+ManoDeObra!$C$26,0)</f>
        <v>61.002206896551726</v>
      </c>
      <c r="D26" s="169">
        <f>IF(PesoMatPrima!D26&gt;0,(PesoMatPrima!D26*Tela!$J$9)+Acc!$AP$24+ManoDeObra!$C$26,0)</f>
        <v>64.825655172413803</v>
      </c>
      <c r="E26" s="169">
        <f>IF(PesoMatPrima!E26&gt;0,(PesoMatPrima!E26*Tela!$J$9)+Acc!$AP$24+ManoDeObra!$C$26,0)</f>
        <v>68.649103448275866</v>
      </c>
      <c r="F26" s="169">
        <f>IF(PesoMatPrima!F26&gt;0,(PesoMatPrima!F26*Tela!$J$9)+Acc!$AP$24+ManoDeObra!$C$26,0)</f>
        <v>72.472551724137929</v>
      </c>
      <c r="G26" s="169">
        <f>IF(PesoMatPrima!G26&gt;0,(PesoMatPrima!G26*Tela!$J$9)+Acc!$AP$24+ManoDeObra!$C$26,0)</f>
        <v>76.296000000000006</v>
      </c>
      <c r="H26" s="169">
        <f>IF(PesoMatPrima!H26&gt;0,(PesoMatPrima!H26*Tela!$J$9)+Acc!$AP$24+ManoDeObra!$D$26,0)</f>
        <v>82.119448275862069</v>
      </c>
      <c r="I26" s="169">
        <f>IF(PesoMatPrima!I26&gt;0,(PesoMatPrima!I26*Tela!$J$9)+Acc!$AP$24+ManoDeObra!$D$26,0)</f>
        <v>86.290482758620684</v>
      </c>
      <c r="J26" s="169">
        <f>IF(PesoMatPrima!J26&gt;0,(PesoMatPrima!J26*Tela!$J$9)+Acc!$AP$24+ManoDeObra!$D$26,0)</f>
        <v>90.635310344827587</v>
      </c>
      <c r="K26" s="169">
        <f>IF(PesoMatPrima!K26&gt;0,(PesoMatPrima!K26*Tela!$J$9)+Acc!$AP$24+ManoDeObra!$D$26,0)</f>
        <v>0</v>
      </c>
      <c r="L26" s="169">
        <f>IF(PesoMatPrima!L26&gt;0,(PesoMatPrima!L26*Tela!$J$9)+Acc!$AP$24+ManoDeObra!$D$26,0)</f>
        <v>93.937379310344838</v>
      </c>
      <c r="M26" s="169">
        <f>IF(PesoMatPrima!M26&gt;0,(PesoMatPrima!M26*Tela!$J$9)+Acc!$AP$24+ManoDeObra!$E$26,0)</f>
        <v>98.19668965517242</v>
      </c>
      <c r="N26" s="169">
        <f>IF(PesoMatPrima!N26&gt;0,(PesoMatPrima!N26*Tela!$J$9)+Acc!$AP$24+ManoDeObra!$E$26,0)</f>
        <v>100.456</v>
      </c>
      <c r="O26" s="169">
        <f>IF(PesoMatPrima!O26&gt;0,(PesoMatPrima!O26*Tela!$J$9)+Acc!$AP$24+ManoDeObra!$E$26,0)</f>
        <v>102.71531034482759</v>
      </c>
      <c r="P26" s="169">
        <f>IF(PesoMatPrima!P26&gt;0,(PesoMatPrima!P26*Tela!$J$9)+Acc!$AP$24+ManoDeObra!$E$26,0)</f>
        <v>105.66979310344828</v>
      </c>
      <c r="Q26" s="169">
        <f>IF(PesoMatPrima!Q26&gt;0,(PesoMatPrima!Q26*Tela!$J$9)+Acc!$AP$24+ManoDeObra!$E$26,0)</f>
        <v>108.27668965517242</v>
      </c>
    </row>
    <row r="27" spans="1:17" ht="20.25" customHeight="1" thickBot="1" x14ac:dyDescent="0.3">
      <c r="A27" s="150">
        <v>25</v>
      </c>
      <c r="B27" s="158" t="s">
        <v>136</v>
      </c>
      <c r="C27" s="169">
        <f>IF(PesoMatPrima!C27&gt;0,(PesoMatPrima!C27*Tela!$J$3)+Acc!$AP$25+ManoDeObra!$C$27,0)</f>
        <v>23.782680000000003</v>
      </c>
      <c r="D27" s="169">
        <f>IF(PesoMatPrima!D27&gt;0,(PesoMatPrima!D27*Tela!$J$3)+Acc!$AP$25+ManoDeObra!$C$27,0)</f>
        <v>24.516000000000002</v>
      </c>
      <c r="E27" s="169">
        <f>IF(PesoMatPrima!E27&gt;0,(PesoMatPrima!E27*Tela!$J$3)+Acc!$AP$25+ManoDeObra!$C$27,0)</f>
        <v>25.249320000000001</v>
      </c>
      <c r="F27" s="169">
        <f>IF(PesoMatPrima!F27&gt;0,(PesoMatPrima!F27*Tela!$J$3)+Acc!$AP$25+ManoDeObra!$C$27,0)</f>
        <v>26.92548</v>
      </c>
      <c r="G27" s="169">
        <f>IF(PesoMatPrima!G27&gt;0,(PesoMatPrima!G27*Tela!$J$3)+Acc!$AP$25+ManoDeObra!$C$27,0)</f>
        <v>28.601640000000003</v>
      </c>
      <c r="H27" s="169">
        <f>IF(PesoMatPrima!H27&gt;0,(PesoMatPrima!H27*Tela!$J$3)+Acc!$AP$25+ManoDeObra!$D$27,0)</f>
        <v>29.125440000000005</v>
      </c>
      <c r="I27" s="169">
        <f>IF(PesoMatPrima!I27&gt;0,(PesoMatPrima!I27*Tela!$J$3)+Acc!$AP$25+ManoDeObra!$D$27,0)</f>
        <v>29.649240000000002</v>
      </c>
      <c r="J27" s="169">
        <f>IF(PesoMatPrima!J27&gt;0,(PesoMatPrima!J27*Tela!$J$3)+Acc!$AP$25+ManoDeObra!$D$27,0)</f>
        <v>30.382560000000005</v>
      </c>
      <c r="K27" s="169">
        <f>IF(PesoMatPrima!K27&gt;0,(PesoMatPrima!K27*Tela!$J$3)+Acc!$AP$25+ManoDeObra!$D$27,0)</f>
        <v>0</v>
      </c>
      <c r="L27" s="169">
        <f>IF(PesoMatPrima!L27&gt;0,(PesoMatPrima!L27*Tela!$J$3)+Acc!$AP$25+ManoDeObra!$D$27,0)</f>
        <v>0</v>
      </c>
      <c r="M27" s="169">
        <f>IF(PesoMatPrima!M27&gt;0,(PesoMatPrima!M27*Tela!$J$3)+Acc!$AP$25+ManoDeObra!$E$27,0)</f>
        <v>0</v>
      </c>
      <c r="N27" s="169">
        <f>IF(PesoMatPrima!N27&gt;0,(PesoMatPrima!N27*Tela!$J$3)+Acc!$AP$25+ManoDeObra!$E$27,0)</f>
        <v>0</v>
      </c>
      <c r="O27" s="169">
        <f>IF(PesoMatPrima!O27&gt;0,(PesoMatPrima!O27*Tela!$J$3)+Acc!$AP$25+ManoDeObra!$E$27,0)</f>
        <v>0</v>
      </c>
      <c r="P27" s="169">
        <f>IF(PesoMatPrima!P27&gt;0,(PesoMatPrima!P27*Tela!$J$3)+Acc!$AP$25+ManoDeObra!$E$27,0)</f>
        <v>0</v>
      </c>
      <c r="Q27" s="169">
        <f>IF(PesoMatPrima!Q27&gt;0,(PesoMatPrima!Q27*Tela!$J$3)+Acc!$AP$25+ManoDeObra!$E$27,0)</f>
        <v>0</v>
      </c>
    </row>
    <row r="28" spans="1:17" ht="20.25" customHeight="1" thickBot="1" x14ac:dyDescent="0.3">
      <c r="A28" s="154">
        <v>26</v>
      </c>
      <c r="B28" s="160" t="s">
        <v>137</v>
      </c>
      <c r="C28" s="169">
        <f>IF(PesoMatPrima!C28&gt;0,(PesoMatPrima!C28*Tela!$J$3)+Acc!$AP$26+ManoDeObra!$C$28,0)</f>
        <v>26.611200000000004</v>
      </c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</row>
    <row r="29" spans="1:17" ht="20.25" customHeight="1" thickBot="1" x14ac:dyDescent="0.3">
      <c r="A29" s="150">
        <v>27</v>
      </c>
      <c r="B29" s="158" t="s">
        <v>125</v>
      </c>
      <c r="C29" s="169">
        <f>IF(PesoMatPrima!C29&gt;0,(PesoMatPrima!C29*Tela!$J$11)+Acc!$AP$27+ManoDeObra!$C$29,0)</f>
        <v>169.46402365905038</v>
      </c>
      <c r="D29" s="169">
        <f>IF(PesoMatPrima!D29&gt;0,(PesoMatPrima!D29*Tela!$J$11)+Acc!$AP$27+ManoDeObra!$C$29,0)</f>
        <v>172.74550153945876</v>
      </c>
      <c r="E29" s="169">
        <f>IF(PesoMatPrima!E29&gt;0,(PesoMatPrima!E29*Tela!$J$11)+Acc!$AP$27+ManoDeObra!$C$29,0)</f>
        <v>176.02697941986713</v>
      </c>
      <c r="F29" s="169">
        <f>IF(PesoMatPrima!F29&gt;0,(PesoMatPrima!F29*Tela!$J$11)+Acc!$AP$27+ManoDeObra!$C$29,0)</f>
        <v>179.30845730027548</v>
      </c>
      <c r="G29" s="169">
        <f>IF(PesoMatPrima!G29&gt;0,(PesoMatPrima!G29*Tela!$J$11)+Acc!$AP$27+ManoDeObra!$C$29,0)</f>
        <v>182.58993518068385</v>
      </c>
      <c r="H29" s="169">
        <f>IF(PesoMatPrima!H29&gt;0,(PesoMatPrima!H29*Tela!$J$11)+Acc!$AP$27+ManoDeObra!$D$29,0)</f>
        <v>205.8714130610922</v>
      </c>
      <c r="I29" s="169">
        <f>IF(PesoMatPrima!I29&gt;0,(PesoMatPrima!I29*Tela!$J$11)+Acc!$AP$27+ManoDeObra!$D$29,0)</f>
        <v>209.15289094150057</v>
      </c>
      <c r="J29" s="169">
        <f>IF(PesoMatPrima!J29&gt;0,(PesoMatPrima!J29*Tela!$J$11)+Acc!$AP$27+ManoDeObra!$D$29,0)</f>
        <v>212.43436882190892</v>
      </c>
      <c r="K29" s="169">
        <f>IF(PesoMatPrima!K29&gt;0,(PesoMatPrima!K29*Tela!$J$11)+Acc!$AP$27+ManoDeObra!$D$29,0)</f>
        <v>0</v>
      </c>
      <c r="L29" s="169">
        <f>IF(PesoMatPrima!L29&gt;0,(PesoMatPrima!L29*Tela!$J$11)+Acc!$AP$27+ManoDeObra!$D$29,0)</f>
        <v>215.71584670231729</v>
      </c>
      <c r="M29" s="169">
        <f>IF(PesoMatPrima!M29&gt;0,(PesoMatPrima!M29*Tela!$J$11)+Acc!$AP$27+ManoDeObra!$E$29,0)</f>
        <v>248.99732458272564</v>
      </c>
      <c r="N29" s="169">
        <f>IF(PesoMatPrima!N29&gt;0,(PesoMatPrima!N29*Tela!$J$11)+Acc!$AP$27+ManoDeObra!$E$29,0)</f>
        <v>252.27880246313401</v>
      </c>
      <c r="O29" s="169">
        <f>IF(PesoMatPrima!O29&gt;0,(PesoMatPrima!O29*Tela!$J$11)+Acc!$AP$27+ManoDeObra!$E$29,0)</f>
        <v>255.56028034354236</v>
      </c>
      <c r="P29" s="169">
        <f>IF(PesoMatPrima!P29&gt;0,(PesoMatPrima!P29*Tela!$J$11)+Acc!$AP$27+ManoDeObra!$E$29,0)</f>
        <v>258.84175822395071</v>
      </c>
      <c r="Q29" s="169">
        <f>IF(PesoMatPrima!Q29&gt;0,(PesoMatPrima!Q29*Tela!$J$11)+Acc!$AP$27+ManoDeObra!$E$29,0)</f>
        <v>262.12323610435908</v>
      </c>
    </row>
    <row r="30" spans="1:17" ht="20.25" customHeight="1" thickBot="1" x14ac:dyDescent="0.3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</row>
  </sheetData>
  <phoneticPr fontId="1" type="noConversion"/>
  <conditionalFormatting sqref="C3:R3 C4:Q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1C4-C975-4A67-ADF9-E4B65F05286C}">
  <sheetPr>
    <tabColor rgb="FFC00000"/>
    <pageSetUpPr fitToPage="1"/>
  </sheetPr>
  <dimension ref="A1:R32"/>
  <sheetViews>
    <sheetView zoomScale="80" zoomScaleNormal="80" workbookViewId="0">
      <selection activeCell="H42" sqref="H42"/>
    </sheetView>
  </sheetViews>
  <sheetFormatPr baseColWidth="10" defaultRowHeight="13.5" x14ac:dyDescent="0.25"/>
  <cols>
    <col min="1" max="1" width="9.7109375" style="187" customWidth="1"/>
    <col min="2" max="2" width="27.42578125" style="187" customWidth="1"/>
    <col min="3" max="18" width="10.7109375" style="187" customWidth="1"/>
    <col min="19" max="16384" width="11.42578125" style="186"/>
  </cols>
  <sheetData>
    <row r="1" spans="1:18" ht="20.100000000000001" customHeight="1" x14ac:dyDescent="0.25"/>
    <row r="2" spans="1:18" ht="20.100000000000001" customHeight="1" thickBot="1" x14ac:dyDescent="0.3">
      <c r="A2" s="206" t="s">
        <v>15</v>
      </c>
      <c r="B2" s="203" t="s">
        <v>0</v>
      </c>
      <c r="C2" s="203">
        <v>2</v>
      </c>
      <c r="D2" s="203">
        <v>4</v>
      </c>
      <c r="E2" s="203">
        <v>6</v>
      </c>
      <c r="F2" s="203">
        <v>8</v>
      </c>
      <c r="G2" s="205">
        <v>10</v>
      </c>
      <c r="H2" s="204">
        <v>12</v>
      </c>
      <c r="I2" s="203">
        <v>14</v>
      </c>
      <c r="J2" s="203" t="s">
        <v>149</v>
      </c>
      <c r="K2" s="205" t="s">
        <v>150</v>
      </c>
      <c r="L2" s="204" t="s">
        <v>151</v>
      </c>
      <c r="M2" s="203" t="s">
        <v>152</v>
      </c>
      <c r="N2" s="203" t="s">
        <v>153</v>
      </c>
      <c r="O2" s="203" t="s">
        <v>154</v>
      </c>
      <c r="P2" s="203" t="s">
        <v>155</v>
      </c>
      <c r="Q2" s="203" t="s">
        <v>156</v>
      </c>
      <c r="R2" s="202" t="s">
        <v>177</v>
      </c>
    </row>
    <row r="3" spans="1:18" ht="20.100000000000001" customHeight="1" thickBot="1" x14ac:dyDescent="0.3">
      <c r="A3" s="200">
        <v>1</v>
      </c>
      <c r="B3" s="199" t="s">
        <v>179</v>
      </c>
      <c r="C3" s="198">
        <v>0</v>
      </c>
      <c r="D3" s="198">
        <v>0</v>
      </c>
      <c r="E3" s="198">
        <v>0</v>
      </c>
      <c r="F3" s="198">
        <v>0</v>
      </c>
      <c r="G3" s="198">
        <v>0</v>
      </c>
      <c r="H3" s="198">
        <v>0</v>
      </c>
      <c r="I3" s="198">
        <v>0</v>
      </c>
      <c r="J3" s="198">
        <v>180</v>
      </c>
      <c r="K3" s="198">
        <v>190</v>
      </c>
      <c r="L3" s="198">
        <v>190</v>
      </c>
      <c r="M3" s="198">
        <v>200</v>
      </c>
      <c r="N3" s="198">
        <v>210</v>
      </c>
      <c r="O3" s="198">
        <v>210</v>
      </c>
      <c r="P3" s="198">
        <v>230</v>
      </c>
      <c r="Q3" s="198">
        <v>240</v>
      </c>
      <c r="R3" s="197">
        <v>250</v>
      </c>
    </row>
    <row r="4" spans="1:18" ht="20.100000000000001" customHeight="1" thickBot="1" x14ac:dyDescent="0.3">
      <c r="A4" s="196">
        <v>2</v>
      </c>
      <c r="B4" s="195" t="s">
        <v>180</v>
      </c>
      <c r="C4" s="194">
        <v>90</v>
      </c>
      <c r="D4" s="194">
        <v>90</v>
      </c>
      <c r="E4" s="194">
        <v>95</v>
      </c>
      <c r="F4" s="194">
        <v>100</v>
      </c>
      <c r="G4" s="194">
        <v>105</v>
      </c>
      <c r="H4" s="194">
        <v>110</v>
      </c>
      <c r="I4" s="194">
        <v>115</v>
      </c>
      <c r="J4" s="194">
        <v>120</v>
      </c>
      <c r="K4" s="194">
        <v>0</v>
      </c>
      <c r="L4" s="194">
        <v>130</v>
      </c>
      <c r="M4" s="194">
        <v>130</v>
      </c>
      <c r="N4" s="194">
        <v>135</v>
      </c>
      <c r="O4" s="194">
        <v>140</v>
      </c>
      <c r="P4" s="194">
        <v>145</v>
      </c>
      <c r="Q4" s="194">
        <v>160</v>
      </c>
      <c r="R4" s="193">
        <v>0</v>
      </c>
    </row>
    <row r="5" spans="1:18" ht="20.100000000000001" customHeight="1" thickBot="1" x14ac:dyDescent="0.3">
      <c r="A5" s="200">
        <v>3</v>
      </c>
      <c r="B5" s="199" t="s">
        <v>181</v>
      </c>
      <c r="C5" s="198">
        <v>100</v>
      </c>
      <c r="D5" s="198">
        <v>100</v>
      </c>
      <c r="E5" s="198">
        <v>105</v>
      </c>
      <c r="F5" s="198">
        <v>110</v>
      </c>
      <c r="G5" s="198">
        <v>115</v>
      </c>
      <c r="H5" s="198">
        <v>120</v>
      </c>
      <c r="I5" s="198">
        <v>130</v>
      </c>
      <c r="J5" s="198">
        <v>145</v>
      </c>
      <c r="K5" s="198">
        <v>0</v>
      </c>
      <c r="L5" s="198">
        <v>145</v>
      </c>
      <c r="M5" s="198">
        <v>0</v>
      </c>
      <c r="N5" s="198">
        <v>0</v>
      </c>
      <c r="O5" s="198">
        <v>0</v>
      </c>
      <c r="P5" s="198">
        <v>0</v>
      </c>
      <c r="Q5" s="198">
        <v>0</v>
      </c>
      <c r="R5" s="197">
        <v>0</v>
      </c>
    </row>
    <row r="6" spans="1:18" ht="20.100000000000001" customHeight="1" thickBot="1" x14ac:dyDescent="0.3">
      <c r="A6" s="196">
        <v>4</v>
      </c>
      <c r="B6" s="195" t="s">
        <v>182</v>
      </c>
      <c r="C6" s="194">
        <v>0</v>
      </c>
      <c r="D6" s="194">
        <v>0</v>
      </c>
      <c r="E6" s="194">
        <v>0</v>
      </c>
      <c r="F6" s="194">
        <v>0</v>
      </c>
      <c r="G6" s="194">
        <v>0</v>
      </c>
      <c r="H6" s="194">
        <v>0</v>
      </c>
      <c r="I6" s="194">
        <v>0</v>
      </c>
      <c r="J6" s="194">
        <v>0</v>
      </c>
      <c r="K6" s="194">
        <v>50</v>
      </c>
      <c r="L6" s="194">
        <v>0</v>
      </c>
      <c r="M6" s="194">
        <v>0</v>
      </c>
      <c r="N6" s="194">
        <v>0</v>
      </c>
      <c r="O6" s="194">
        <v>0</v>
      </c>
      <c r="P6" s="194">
        <v>0</v>
      </c>
      <c r="Q6" s="194">
        <v>0</v>
      </c>
      <c r="R6" s="193">
        <v>0</v>
      </c>
    </row>
    <row r="7" spans="1:18" ht="20.100000000000001" customHeight="1" thickBot="1" x14ac:dyDescent="0.3">
      <c r="A7" s="200">
        <v>5</v>
      </c>
      <c r="B7" s="199" t="s">
        <v>206</v>
      </c>
      <c r="C7" s="198">
        <v>100</v>
      </c>
      <c r="D7" s="198">
        <v>100</v>
      </c>
      <c r="E7" s="198">
        <v>105</v>
      </c>
      <c r="F7" s="198">
        <v>110</v>
      </c>
      <c r="G7" s="198">
        <v>115</v>
      </c>
      <c r="H7" s="198">
        <v>130</v>
      </c>
      <c r="I7" s="198">
        <v>160</v>
      </c>
      <c r="J7" s="198">
        <v>180</v>
      </c>
      <c r="K7" s="198">
        <v>0</v>
      </c>
      <c r="L7" s="198">
        <v>180</v>
      </c>
      <c r="M7" s="198">
        <v>0</v>
      </c>
      <c r="N7" s="198">
        <v>0</v>
      </c>
      <c r="O7" s="198">
        <v>0</v>
      </c>
      <c r="P7" s="198">
        <v>0</v>
      </c>
      <c r="Q7" s="198">
        <v>0</v>
      </c>
      <c r="R7" s="197">
        <v>0</v>
      </c>
    </row>
    <row r="8" spans="1:18" ht="20.100000000000001" customHeight="1" thickBot="1" x14ac:dyDescent="0.3">
      <c r="A8" s="196">
        <v>6</v>
      </c>
      <c r="B8" s="195" t="s">
        <v>183</v>
      </c>
      <c r="C8" s="194">
        <v>95</v>
      </c>
      <c r="D8" s="194">
        <v>95</v>
      </c>
      <c r="E8" s="194">
        <v>100</v>
      </c>
      <c r="F8" s="194">
        <v>105</v>
      </c>
      <c r="G8" s="194">
        <v>110</v>
      </c>
      <c r="H8" s="194">
        <v>125</v>
      </c>
      <c r="I8" s="194">
        <v>150</v>
      </c>
      <c r="J8" s="194">
        <v>170</v>
      </c>
      <c r="K8" s="194">
        <v>0</v>
      </c>
      <c r="L8" s="194"/>
      <c r="M8" s="194">
        <v>0</v>
      </c>
      <c r="N8" s="194">
        <v>0</v>
      </c>
      <c r="O8" s="194">
        <v>0</v>
      </c>
      <c r="P8" s="194">
        <v>0</v>
      </c>
      <c r="Q8" s="194">
        <v>0</v>
      </c>
      <c r="R8" s="193">
        <v>0</v>
      </c>
    </row>
    <row r="9" spans="1:18" ht="20.100000000000001" customHeight="1" thickBot="1" x14ac:dyDescent="0.3">
      <c r="A9" s="200">
        <v>7</v>
      </c>
      <c r="B9" s="199" t="s">
        <v>184</v>
      </c>
      <c r="C9" s="198">
        <v>70</v>
      </c>
      <c r="D9" s="198">
        <v>70</v>
      </c>
      <c r="E9" s="198">
        <v>70</v>
      </c>
      <c r="F9" s="198">
        <v>80</v>
      </c>
      <c r="G9" s="198">
        <v>80</v>
      </c>
      <c r="H9" s="198">
        <v>80</v>
      </c>
      <c r="I9" s="198">
        <v>90</v>
      </c>
      <c r="J9" s="198">
        <v>90</v>
      </c>
      <c r="K9" s="198">
        <v>0</v>
      </c>
      <c r="L9" s="198">
        <v>100</v>
      </c>
      <c r="M9" s="198">
        <v>100</v>
      </c>
      <c r="N9" s="198">
        <v>100</v>
      </c>
      <c r="O9" s="198">
        <v>105</v>
      </c>
      <c r="P9" s="198">
        <v>105</v>
      </c>
      <c r="Q9" s="198">
        <v>105</v>
      </c>
      <c r="R9" s="197">
        <v>0</v>
      </c>
    </row>
    <row r="10" spans="1:18" ht="20.100000000000001" customHeight="1" thickBot="1" x14ac:dyDescent="0.3">
      <c r="A10" s="196">
        <v>8</v>
      </c>
      <c r="B10" s="195" t="s">
        <v>185</v>
      </c>
      <c r="C10" s="194">
        <v>80</v>
      </c>
      <c r="D10" s="194">
        <v>80</v>
      </c>
      <c r="E10" s="194">
        <v>80</v>
      </c>
      <c r="F10" s="194">
        <v>90</v>
      </c>
      <c r="G10" s="194">
        <v>90</v>
      </c>
      <c r="H10" s="194">
        <v>90</v>
      </c>
      <c r="I10" s="194">
        <v>100</v>
      </c>
      <c r="J10" s="194">
        <v>100</v>
      </c>
      <c r="K10" s="194">
        <v>0</v>
      </c>
      <c r="L10" s="194">
        <v>105</v>
      </c>
      <c r="M10" s="194">
        <v>105</v>
      </c>
      <c r="N10" s="194">
        <v>105</v>
      </c>
      <c r="O10" s="194">
        <v>115</v>
      </c>
      <c r="P10" s="194">
        <v>115</v>
      </c>
      <c r="Q10" s="194">
        <v>115</v>
      </c>
      <c r="R10" s="193">
        <v>0</v>
      </c>
    </row>
    <row r="11" spans="1:18" ht="20.100000000000001" customHeight="1" thickBot="1" x14ac:dyDescent="0.3">
      <c r="A11" s="200">
        <v>9</v>
      </c>
      <c r="B11" s="199" t="s">
        <v>186</v>
      </c>
      <c r="C11" s="198">
        <v>65</v>
      </c>
      <c r="D11" s="198">
        <v>65</v>
      </c>
      <c r="E11" s="198">
        <v>70</v>
      </c>
      <c r="F11" s="198">
        <v>70</v>
      </c>
      <c r="G11" s="198">
        <v>75</v>
      </c>
      <c r="H11" s="198">
        <v>75</v>
      </c>
      <c r="I11" s="198">
        <v>85</v>
      </c>
      <c r="J11" s="198">
        <v>85</v>
      </c>
      <c r="K11" s="198">
        <v>0</v>
      </c>
      <c r="L11" s="198">
        <v>90</v>
      </c>
      <c r="M11" s="198">
        <v>90</v>
      </c>
      <c r="N11" s="198">
        <v>90</v>
      </c>
      <c r="O11" s="198">
        <v>95</v>
      </c>
      <c r="P11" s="198">
        <v>95</v>
      </c>
      <c r="Q11" s="198">
        <v>95</v>
      </c>
      <c r="R11" s="197">
        <v>0</v>
      </c>
    </row>
    <row r="12" spans="1:18" ht="20.100000000000001" customHeight="1" thickBot="1" x14ac:dyDescent="0.3">
      <c r="A12" s="196">
        <v>10</v>
      </c>
      <c r="B12" s="195" t="s">
        <v>187</v>
      </c>
      <c r="C12" s="194">
        <v>65</v>
      </c>
      <c r="D12" s="194">
        <v>65</v>
      </c>
      <c r="E12" s="194">
        <v>70</v>
      </c>
      <c r="F12" s="194">
        <v>70</v>
      </c>
      <c r="G12" s="194">
        <v>75</v>
      </c>
      <c r="H12" s="194">
        <v>75</v>
      </c>
      <c r="I12" s="194">
        <v>85</v>
      </c>
      <c r="J12" s="194">
        <v>85</v>
      </c>
      <c r="K12" s="194">
        <v>0</v>
      </c>
      <c r="L12" s="194">
        <v>90</v>
      </c>
      <c r="M12" s="194">
        <v>90</v>
      </c>
      <c r="N12" s="194">
        <v>90</v>
      </c>
      <c r="O12" s="194">
        <v>95</v>
      </c>
      <c r="P12" s="194">
        <v>95</v>
      </c>
      <c r="Q12" s="194">
        <v>95</v>
      </c>
      <c r="R12" s="193">
        <v>0</v>
      </c>
    </row>
    <row r="13" spans="1:18" ht="20.100000000000001" customHeight="1" thickBot="1" x14ac:dyDescent="0.3">
      <c r="A13" s="200">
        <v>11</v>
      </c>
      <c r="B13" s="199" t="s">
        <v>188</v>
      </c>
      <c r="C13" s="198">
        <v>95</v>
      </c>
      <c r="D13" s="198">
        <v>95</v>
      </c>
      <c r="E13" s="198">
        <v>95</v>
      </c>
      <c r="F13" s="198">
        <v>100</v>
      </c>
      <c r="G13" s="198">
        <v>100</v>
      </c>
      <c r="H13" s="198">
        <v>100</v>
      </c>
      <c r="I13" s="198">
        <v>105</v>
      </c>
      <c r="J13" s="198">
        <v>105</v>
      </c>
      <c r="K13" s="198">
        <v>0</v>
      </c>
      <c r="L13" s="198">
        <v>110</v>
      </c>
      <c r="M13" s="198">
        <v>110</v>
      </c>
      <c r="N13" s="198">
        <v>110</v>
      </c>
      <c r="O13" s="198">
        <v>115</v>
      </c>
      <c r="P13" s="198">
        <v>115</v>
      </c>
      <c r="Q13" s="198">
        <v>115</v>
      </c>
      <c r="R13" s="197">
        <v>0</v>
      </c>
    </row>
    <row r="14" spans="1:18" ht="20.100000000000001" customHeight="1" thickBot="1" x14ac:dyDescent="0.3">
      <c r="A14" s="196">
        <v>12</v>
      </c>
      <c r="B14" s="195" t="s">
        <v>189</v>
      </c>
      <c r="C14" s="194">
        <v>0</v>
      </c>
      <c r="D14" s="194">
        <v>0</v>
      </c>
      <c r="E14" s="194">
        <v>0</v>
      </c>
      <c r="F14" s="194">
        <v>0</v>
      </c>
      <c r="G14" s="194">
        <v>0</v>
      </c>
      <c r="H14" s="194">
        <v>0</v>
      </c>
      <c r="I14" s="194">
        <v>0</v>
      </c>
      <c r="J14" s="194">
        <v>180</v>
      </c>
      <c r="K14" s="194">
        <v>180</v>
      </c>
      <c r="L14" s="194">
        <v>180</v>
      </c>
      <c r="M14" s="194">
        <v>190</v>
      </c>
      <c r="N14" s="194">
        <v>200</v>
      </c>
      <c r="O14" s="194">
        <v>210</v>
      </c>
      <c r="P14" s="194">
        <v>220</v>
      </c>
      <c r="Q14" s="194">
        <v>230</v>
      </c>
      <c r="R14" s="193">
        <v>0</v>
      </c>
    </row>
    <row r="15" spans="1:18" ht="20.100000000000001" customHeight="1" thickBot="1" x14ac:dyDescent="0.3">
      <c r="A15" s="200">
        <v>13</v>
      </c>
      <c r="B15" s="199" t="s">
        <v>190</v>
      </c>
      <c r="C15" s="198">
        <v>90</v>
      </c>
      <c r="D15" s="198">
        <v>90</v>
      </c>
      <c r="E15" s="198">
        <v>95</v>
      </c>
      <c r="F15" s="198">
        <v>100</v>
      </c>
      <c r="G15" s="198">
        <v>105</v>
      </c>
      <c r="H15" s="198">
        <v>110</v>
      </c>
      <c r="I15" s="198">
        <v>115</v>
      </c>
      <c r="J15" s="198">
        <v>120</v>
      </c>
      <c r="K15" s="198">
        <v>125</v>
      </c>
      <c r="L15" s="198">
        <v>130</v>
      </c>
      <c r="M15" s="198">
        <v>130</v>
      </c>
      <c r="N15" s="198">
        <v>135</v>
      </c>
      <c r="O15" s="198">
        <v>140</v>
      </c>
      <c r="P15" s="198">
        <v>150</v>
      </c>
      <c r="Q15" s="198">
        <v>160</v>
      </c>
      <c r="R15" s="197">
        <v>0</v>
      </c>
    </row>
    <row r="16" spans="1:18" ht="20.100000000000001" customHeight="1" thickBot="1" x14ac:dyDescent="0.3">
      <c r="A16" s="196">
        <v>14</v>
      </c>
      <c r="B16" s="195" t="s">
        <v>191</v>
      </c>
      <c r="C16" s="194">
        <v>100</v>
      </c>
      <c r="D16" s="194">
        <v>100</v>
      </c>
      <c r="E16" s="194">
        <v>105</v>
      </c>
      <c r="F16" s="194">
        <v>110</v>
      </c>
      <c r="G16" s="194">
        <v>115</v>
      </c>
      <c r="H16" s="194">
        <v>120</v>
      </c>
      <c r="I16" s="194">
        <v>125</v>
      </c>
      <c r="J16" s="194">
        <v>130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</row>
    <row r="17" spans="1:18" ht="20.100000000000001" customHeight="1" thickBot="1" x14ac:dyDescent="0.3">
      <c r="A17" s="200">
        <v>15</v>
      </c>
      <c r="B17" s="201" t="s">
        <v>205</v>
      </c>
      <c r="C17" s="198">
        <v>35</v>
      </c>
      <c r="D17" s="198">
        <v>0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J17" s="198">
        <v>0</v>
      </c>
      <c r="K17" s="198">
        <v>0</v>
      </c>
      <c r="L17" s="198">
        <v>0</v>
      </c>
      <c r="M17" s="198">
        <v>0</v>
      </c>
      <c r="N17" s="198">
        <v>0</v>
      </c>
      <c r="O17" s="198">
        <v>0</v>
      </c>
      <c r="P17" s="198">
        <v>0</v>
      </c>
      <c r="Q17" s="198">
        <v>0</v>
      </c>
      <c r="R17" s="197">
        <v>0</v>
      </c>
    </row>
    <row r="18" spans="1:18" ht="20.100000000000001" customHeight="1" thickBot="1" x14ac:dyDescent="0.3">
      <c r="A18" s="196">
        <v>16</v>
      </c>
      <c r="B18" s="195" t="s">
        <v>192</v>
      </c>
      <c r="C18" s="194">
        <v>105</v>
      </c>
      <c r="D18" s="194">
        <v>115</v>
      </c>
      <c r="E18" s="194">
        <v>115</v>
      </c>
      <c r="F18" s="194">
        <v>115</v>
      </c>
      <c r="G18" s="194">
        <v>120</v>
      </c>
      <c r="H18" s="194">
        <v>120</v>
      </c>
      <c r="I18" s="194">
        <v>125</v>
      </c>
      <c r="J18" s="194">
        <v>125</v>
      </c>
      <c r="K18" s="194">
        <v>0</v>
      </c>
      <c r="L18" s="194">
        <v>130</v>
      </c>
      <c r="M18" s="194">
        <v>135</v>
      </c>
      <c r="N18" s="194">
        <v>140</v>
      </c>
      <c r="O18" s="194">
        <v>145</v>
      </c>
      <c r="P18" s="194">
        <v>155</v>
      </c>
      <c r="Q18" s="194">
        <v>175</v>
      </c>
      <c r="R18" s="193">
        <v>0</v>
      </c>
    </row>
    <row r="19" spans="1:18" ht="20.100000000000001" customHeight="1" thickBot="1" x14ac:dyDescent="0.3">
      <c r="A19" s="200">
        <v>17</v>
      </c>
      <c r="B19" s="199" t="s">
        <v>193</v>
      </c>
      <c r="C19" s="198">
        <v>105</v>
      </c>
      <c r="D19" s="198">
        <v>105</v>
      </c>
      <c r="E19" s="198">
        <v>115</v>
      </c>
      <c r="F19" s="198">
        <v>115</v>
      </c>
      <c r="G19" s="198">
        <v>125</v>
      </c>
      <c r="H19" s="198">
        <v>125</v>
      </c>
      <c r="I19" s="198">
        <v>0</v>
      </c>
      <c r="J19" s="198">
        <v>0</v>
      </c>
      <c r="K19" s="198">
        <v>0</v>
      </c>
      <c r="L19" s="198">
        <v>0</v>
      </c>
      <c r="M19" s="198">
        <v>0</v>
      </c>
      <c r="N19" s="198">
        <v>0</v>
      </c>
      <c r="O19" s="198">
        <v>0</v>
      </c>
      <c r="P19" s="198">
        <v>0</v>
      </c>
      <c r="Q19" s="198">
        <v>0</v>
      </c>
      <c r="R19" s="197">
        <v>0</v>
      </c>
    </row>
    <row r="20" spans="1:18" ht="20.100000000000001" customHeight="1" thickBot="1" x14ac:dyDescent="0.3">
      <c r="A20" s="196">
        <v>18</v>
      </c>
      <c r="B20" s="195" t="s">
        <v>194</v>
      </c>
      <c r="C20" s="194">
        <v>0</v>
      </c>
      <c r="D20" s="194">
        <v>105</v>
      </c>
      <c r="E20" s="194">
        <v>115</v>
      </c>
      <c r="F20" s="194">
        <v>115</v>
      </c>
      <c r="G20" s="194">
        <v>0</v>
      </c>
      <c r="H20" s="194">
        <v>0</v>
      </c>
      <c r="I20" s="194">
        <v>0</v>
      </c>
      <c r="J20" s="194">
        <v>0</v>
      </c>
      <c r="K20" s="194">
        <v>0</v>
      </c>
      <c r="L20" s="194">
        <v>0</v>
      </c>
      <c r="M20" s="194">
        <v>0</v>
      </c>
      <c r="N20" s="194">
        <v>0</v>
      </c>
      <c r="O20" s="194">
        <v>0</v>
      </c>
      <c r="P20" s="194">
        <v>0</v>
      </c>
      <c r="Q20" s="194">
        <v>0</v>
      </c>
      <c r="R20" s="193">
        <v>0</v>
      </c>
    </row>
    <row r="21" spans="1:18" ht="20.100000000000001" customHeight="1" thickBot="1" x14ac:dyDescent="0.3">
      <c r="A21" s="200">
        <v>19</v>
      </c>
      <c r="B21" s="199" t="s">
        <v>195</v>
      </c>
      <c r="C21" s="198">
        <v>120</v>
      </c>
      <c r="D21" s="198">
        <v>125</v>
      </c>
      <c r="E21" s="198">
        <v>140</v>
      </c>
      <c r="F21" s="198">
        <v>150</v>
      </c>
      <c r="G21" s="198">
        <v>155</v>
      </c>
      <c r="H21" s="198">
        <v>165</v>
      </c>
      <c r="I21" s="198">
        <v>175</v>
      </c>
      <c r="J21" s="198">
        <v>180</v>
      </c>
      <c r="K21" s="198">
        <v>0</v>
      </c>
      <c r="L21" s="198">
        <v>185</v>
      </c>
      <c r="M21" s="198">
        <v>190</v>
      </c>
      <c r="N21" s="198">
        <v>190</v>
      </c>
      <c r="O21" s="198">
        <v>195</v>
      </c>
      <c r="P21" s="198">
        <v>195</v>
      </c>
      <c r="Q21" s="198">
        <v>200</v>
      </c>
      <c r="R21" s="197">
        <v>0</v>
      </c>
    </row>
    <row r="22" spans="1:18" ht="20.100000000000001" customHeight="1" thickBot="1" x14ac:dyDescent="0.3">
      <c r="A22" s="196">
        <v>20</v>
      </c>
      <c r="B22" s="195" t="s">
        <v>196</v>
      </c>
      <c r="C22" s="194">
        <v>120</v>
      </c>
      <c r="D22" s="194">
        <v>125</v>
      </c>
      <c r="E22" s="194">
        <v>135</v>
      </c>
      <c r="F22" s="194">
        <v>145</v>
      </c>
      <c r="G22" s="194">
        <v>150</v>
      </c>
      <c r="H22" s="194">
        <v>155</v>
      </c>
      <c r="I22" s="194">
        <v>165</v>
      </c>
      <c r="J22" s="194">
        <v>170</v>
      </c>
      <c r="K22" s="194">
        <v>0</v>
      </c>
      <c r="L22" s="194">
        <v>175</v>
      </c>
      <c r="M22" s="194">
        <v>180</v>
      </c>
      <c r="N22" s="194">
        <v>180</v>
      </c>
      <c r="O22" s="194">
        <v>185</v>
      </c>
      <c r="P22" s="194">
        <v>185</v>
      </c>
      <c r="Q22" s="194">
        <v>190</v>
      </c>
      <c r="R22" s="193">
        <v>0</v>
      </c>
    </row>
    <row r="23" spans="1:18" ht="20.100000000000001" customHeight="1" thickBot="1" x14ac:dyDescent="0.3">
      <c r="A23" s="200">
        <v>21</v>
      </c>
      <c r="B23" s="199" t="s">
        <v>197</v>
      </c>
      <c r="C23" s="198">
        <v>160</v>
      </c>
      <c r="D23" s="198">
        <v>160</v>
      </c>
      <c r="E23" s="198">
        <v>160</v>
      </c>
      <c r="F23" s="198">
        <v>170</v>
      </c>
      <c r="G23" s="198">
        <v>170</v>
      </c>
      <c r="H23" s="198">
        <v>170</v>
      </c>
      <c r="I23" s="198">
        <v>180</v>
      </c>
      <c r="J23" s="198">
        <v>180</v>
      </c>
      <c r="K23" s="198">
        <v>0</v>
      </c>
      <c r="L23" s="198">
        <v>180</v>
      </c>
      <c r="M23" s="198">
        <v>190</v>
      </c>
      <c r="N23" s="198">
        <v>190</v>
      </c>
      <c r="O23" s="198">
        <v>200</v>
      </c>
      <c r="P23" s="198">
        <v>210</v>
      </c>
      <c r="Q23" s="198">
        <v>210</v>
      </c>
      <c r="R23" s="197">
        <v>0</v>
      </c>
    </row>
    <row r="24" spans="1:18" ht="20.100000000000001" customHeight="1" thickBot="1" x14ac:dyDescent="0.3">
      <c r="A24" s="196">
        <v>22</v>
      </c>
      <c r="B24" s="195" t="s">
        <v>198</v>
      </c>
      <c r="C24" s="194">
        <v>160</v>
      </c>
      <c r="D24" s="194">
        <v>160</v>
      </c>
      <c r="E24" s="194">
        <v>160</v>
      </c>
      <c r="F24" s="194">
        <v>170</v>
      </c>
      <c r="G24" s="194">
        <v>170</v>
      </c>
      <c r="H24" s="194">
        <v>170</v>
      </c>
      <c r="I24" s="194">
        <v>180</v>
      </c>
      <c r="J24" s="194">
        <v>180</v>
      </c>
      <c r="K24" s="194">
        <v>0</v>
      </c>
      <c r="L24" s="194">
        <v>180</v>
      </c>
      <c r="M24" s="194">
        <v>190</v>
      </c>
      <c r="N24" s="194">
        <v>190</v>
      </c>
      <c r="O24" s="194">
        <v>200</v>
      </c>
      <c r="P24" s="194">
        <v>210</v>
      </c>
      <c r="Q24" s="194">
        <v>210</v>
      </c>
      <c r="R24" s="193">
        <v>0</v>
      </c>
    </row>
    <row r="25" spans="1:18" ht="20.100000000000001" customHeight="1" thickBot="1" x14ac:dyDescent="0.3">
      <c r="A25" s="200">
        <v>23</v>
      </c>
      <c r="B25" s="199" t="s">
        <v>199</v>
      </c>
      <c r="C25" s="198">
        <v>180</v>
      </c>
      <c r="D25" s="198">
        <v>180</v>
      </c>
      <c r="E25" s="198">
        <v>180</v>
      </c>
      <c r="F25" s="198">
        <v>190</v>
      </c>
      <c r="G25" s="198">
        <v>190</v>
      </c>
      <c r="H25" s="198">
        <v>190</v>
      </c>
      <c r="I25" s="198">
        <v>200</v>
      </c>
      <c r="J25" s="198">
        <v>200</v>
      </c>
      <c r="K25" s="198">
        <v>0</v>
      </c>
      <c r="L25" s="198">
        <v>200</v>
      </c>
      <c r="M25" s="198">
        <v>210</v>
      </c>
      <c r="N25" s="198">
        <v>210</v>
      </c>
      <c r="O25" s="198">
        <v>220</v>
      </c>
      <c r="P25" s="198">
        <v>230</v>
      </c>
      <c r="Q25" s="198">
        <v>230</v>
      </c>
      <c r="R25" s="197">
        <v>0</v>
      </c>
    </row>
    <row r="26" spans="1:18" ht="20.100000000000001" customHeight="1" thickBot="1" x14ac:dyDescent="0.3">
      <c r="A26" s="196">
        <v>24</v>
      </c>
      <c r="B26" s="195" t="s">
        <v>200</v>
      </c>
      <c r="C26" s="194">
        <v>95</v>
      </c>
      <c r="D26" s="194">
        <v>95</v>
      </c>
      <c r="E26" s="194">
        <v>100</v>
      </c>
      <c r="F26" s="194">
        <v>100</v>
      </c>
      <c r="G26" s="194">
        <v>105</v>
      </c>
      <c r="H26" s="194">
        <v>105</v>
      </c>
      <c r="I26" s="194">
        <v>110</v>
      </c>
      <c r="J26" s="194">
        <v>115</v>
      </c>
      <c r="K26" s="194">
        <v>0</v>
      </c>
      <c r="L26" s="194">
        <v>125</v>
      </c>
      <c r="M26" s="194">
        <v>140</v>
      </c>
      <c r="N26" s="194">
        <v>145</v>
      </c>
      <c r="O26" s="194">
        <v>155</v>
      </c>
      <c r="P26" s="194">
        <v>160</v>
      </c>
      <c r="Q26" s="194">
        <v>160</v>
      </c>
      <c r="R26" s="193">
        <v>0</v>
      </c>
    </row>
    <row r="27" spans="1:18" ht="20.100000000000001" customHeight="1" thickBot="1" x14ac:dyDescent="0.3">
      <c r="A27" s="200">
        <v>25</v>
      </c>
      <c r="B27" s="199" t="s">
        <v>201</v>
      </c>
      <c r="C27" s="198">
        <v>55</v>
      </c>
      <c r="D27" s="198">
        <v>55</v>
      </c>
      <c r="E27" s="198">
        <v>55</v>
      </c>
      <c r="F27" s="198">
        <v>65</v>
      </c>
      <c r="G27" s="198">
        <v>65</v>
      </c>
      <c r="H27" s="198">
        <v>70</v>
      </c>
      <c r="I27" s="198">
        <v>70</v>
      </c>
      <c r="J27" s="198">
        <v>70</v>
      </c>
      <c r="K27" s="198">
        <v>0</v>
      </c>
      <c r="L27" s="198">
        <v>0</v>
      </c>
      <c r="M27" s="198">
        <v>0</v>
      </c>
      <c r="N27" s="198">
        <v>0</v>
      </c>
      <c r="O27" s="198">
        <v>0</v>
      </c>
      <c r="P27" s="198">
        <v>0</v>
      </c>
      <c r="Q27" s="198">
        <v>0</v>
      </c>
      <c r="R27" s="197">
        <v>0</v>
      </c>
    </row>
    <row r="28" spans="1:18" ht="20.100000000000001" customHeight="1" thickBot="1" x14ac:dyDescent="0.3">
      <c r="A28" s="196">
        <v>26</v>
      </c>
      <c r="B28" s="195" t="s">
        <v>202</v>
      </c>
      <c r="C28" s="194">
        <v>55</v>
      </c>
      <c r="D28" s="194">
        <v>55</v>
      </c>
      <c r="E28" s="194">
        <v>55</v>
      </c>
      <c r="F28" s="194">
        <v>65</v>
      </c>
      <c r="G28" s="194">
        <v>65</v>
      </c>
      <c r="H28" s="194">
        <v>70</v>
      </c>
      <c r="I28" s="194">
        <v>70</v>
      </c>
      <c r="J28" s="194">
        <v>70</v>
      </c>
      <c r="K28" s="194">
        <v>0</v>
      </c>
      <c r="L28" s="194">
        <v>80</v>
      </c>
      <c r="M28" s="194">
        <v>80</v>
      </c>
      <c r="N28" s="194">
        <v>80</v>
      </c>
      <c r="O28" s="194">
        <v>80</v>
      </c>
      <c r="P28" s="194">
        <v>80</v>
      </c>
      <c r="Q28" s="194">
        <v>80</v>
      </c>
      <c r="R28" s="193">
        <v>0</v>
      </c>
    </row>
    <row r="29" spans="1:18" ht="20.100000000000001" customHeight="1" x14ac:dyDescent="0.25">
      <c r="A29" s="192">
        <v>27</v>
      </c>
      <c r="B29" s="191" t="s">
        <v>203</v>
      </c>
      <c r="C29" s="190">
        <v>0</v>
      </c>
      <c r="D29" s="190">
        <v>0</v>
      </c>
      <c r="E29" s="190">
        <v>0</v>
      </c>
      <c r="F29" s="190">
        <v>0</v>
      </c>
      <c r="G29" s="190">
        <v>0</v>
      </c>
      <c r="H29" s="190">
        <v>0</v>
      </c>
      <c r="I29" s="190">
        <v>0</v>
      </c>
      <c r="J29" s="190">
        <v>0</v>
      </c>
      <c r="K29" s="190">
        <v>0</v>
      </c>
      <c r="L29" s="190">
        <v>0</v>
      </c>
      <c r="M29" s="190">
        <v>0</v>
      </c>
      <c r="N29" s="190">
        <v>0</v>
      </c>
      <c r="O29" s="190">
        <v>0</v>
      </c>
      <c r="P29" s="190">
        <v>0</v>
      </c>
      <c r="Q29" s="190">
        <v>0</v>
      </c>
      <c r="R29" s="189">
        <v>0</v>
      </c>
    </row>
    <row r="30" spans="1:18" ht="20.100000000000001" customHeight="1" x14ac:dyDescent="0.25"/>
    <row r="31" spans="1:18" ht="20.100000000000001" customHeight="1" x14ac:dyDescent="0.25">
      <c r="A31" s="188" t="s">
        <v>204</v>
      </c>
    </row>
    <row r="32" spans="1:18" ht="20.100000000000001" customHeight="1" x14ac:dyDescent="0.25"/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258" scale="7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05F9-CC87-4227-A1D8-E51F107230B8}">
  <sheetPr codeName="Hoja12">
    <tabColor rgb="FFC00000"/>
    <pageSetUpPr fitToPage="1"/>
  </sheetPr>
  <dimension ref="A1:R31"/>
  <sheetViews>
    <sheetView zoomScale="80" zoomScaleNormal="80" workbookViewId="0">
      <selection activeCell="F8" sqref="F8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7" width="9.7109375" style="161" customWidth="1"/>
    <col min="18" max="16384" width="11.42578125" style="1"/>
  </cols>
  <sheetData>
    <row r="1" spans="1:18" ht="20.25" customHeight="1" thickBot="1" x14ac:dyDescent="0.3">
      <c r="A1" s="165" t="s">
        <v>162</v>
      </c>
      <c r="B1" s="165"/>
      <c r="D1" s="165"/>
      <c r="E1" s="165" t="s">
        <v>161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62">
        <v>1</v>
      </c>
      <c r="B3" s="158" t="s">
        <v>1</v>
      </c>
      <c r="C3" s="170">
        <f>IF(CostoBruto!C3&gt;0,CostoBruto!C3+fijosXprenda!$D$3,0)</f>
        <v>0</v>
      </c>
      <c r="D3" s="170">
        <f>IF(CostoBruto!D3&gt;0,CostoBruto!D3+fijosXprenda!$D$3,0)</f>
        <v>0</v>
      </c>
      <c r="E3" s="170">
        <f>IF(CostoBruto!E3&gt;0,CostoBruto!E3+fijosXprenda!$D$3,0)</f>
        <v>0</v>
      </c>
      <c r="F3" s="170">
        <f>IF(CostoBruto!F3&gt;0,CostoBruto!F3+fijosXprenda!$D$3,0)</f>
        <v>0</v>
      </c>
      <c r="G3" s="170">
        <f>IF(CostoBruto!G3&gt;0,CostoBruto!G3+fijosXprenda!$D$3,0)</f>
        <v>0</v>
      </c>
      <c r="H3" s="170">
        <f>IF(CostoBruto!H3&gt;0,CostoBruto!H3+fijosXprenda!$D$3,0)</f>
        <v>0</v>
      </c>
      <c r="I3" s="170">
        <f>IF(CostoBruto!I3&gt;0,CostoBruto!I3+fijosXprenda!$D$3,0)</f>
        <v>0</v>
      </c>
      <c r="J3" s="170">
        <f>IF(CostoBruto!J3&gt;0,CostoBruto!J3+fijosXprenda!$D$3,0)</f>
        <v>106.65861788617887</v>
      </c>
      <c r="K3" s="170">
        <f>IF(CostoBruto!K3&gt;0,CostoBruto!K3+fijosXprenda!$D$3,0)</f>
        <v>109.11715447154472</v>
      </c>
      <c r="L3" s="170">
        <f>IF(CostoBruto!L3&gt;0,CostoBruto!L3+fijosXprenda!$D$3,0)</f>
        <v>115.34642276422765</v>
      </c>
      <c r="M3" s="170">
        <f>IF(CostoBruto!M3&gt;0,CostoBruto!M3+fijosXprenda!$D$3,0)</f>
        <v>117.19032520325204</v>
      </c>
      <c r="N3" s="170">
        <f>IF(CostoBruto!N3&gt;0,CostoBruto!N3+fijosXprenda!$D$3,0)</f>
        <v>119.03422764227643</v>
      </c>
      <c r="O3" s="170">
        <f>IF(CostoBruto!O3&gt;0,CostoBruto!O3+fijosXprenda!$D$3,0)</f>
        <v>120.26349593495935</v>
      </c>
      <c r="P3" s="170">
        <f>IF(CostoBruto!P3&gt;0,CostoBruto!P3+fijosXprenda!$D$3,0)</f>
        <v>122.47617886178863</v>
      </c>
      <c r="Q3" s="170">
        <f>IF(CostoBruto!Q3&gt;0,CostoBruto!Q3+fijosXprenda!$D$3,0)</f>
        <v>123.82837398373984</v>
      </c>
      <c r="R3" s="170">
        <f>IF(CostoBruto!R3&gt;0,CostoBruto!R3+fijosXprenda!$D$3,0)</f>
        <v>125.79520325203252</v>
      </c>
    </row>
    <row r="4" spans="1:18" ht="20.25" customHeight="1" thickBot="1" x14ac:dyDescent="0.3">
      <c r="A4" s="163">
        <v>2</v>
      </c>
      <c r="B4" s="160" t="s">
        <v>2</v>
      </c>
      <c r="C4" s="170">
        <f>IF(CostoBruto!C4&gt;0,CostoBruto!C4+fijosXprenda!$D$4,0)</f>
        <v>55.267994100294985</v>
      </c>
      <c r="D4" s="170">
        <f>IF(CostoBruto!D4&gt;0,CostoBruto!D4+fijosXprenda!$D$4,0)</f>
        <v>56.383038348082593</v>
      </c>
      <c r="E4" s="170">
        <f>IF(CostoBruto!E4&gt;0,CostoBruto!E4+fijosXprenda!$D$4,0)</f>
        <v>57.498082595870201</v>
      </c>
      <c r="F4" s="170">
        <f>IF(CostoBruto!F4&gt;0,CostoBruto!F4+fijosXprenda!$D$4,0)</f>
        <v>58.61312684365781</v>
      </c>
      <c r="G4" s="170">
        <f>IF(CostoBruto!G4&gt;0,CostoBruto!G4+fijosXprenda!$D$4,0)</f>
        <v>59.728171091445432</v>
      </c>
      <c r="H4" s="170">
        <f>IF(CostoBruto!H4&gt;0,CostoBruto!H4+fijosXprenda!$D$4,0)</f>
        <v>63.843215339233041</v>
      </c>
      <c r="I4" s="170">
        <f>IF(CostoBruto!I4&gt;0,CostoBruto!I4+fijosXprenda!$D$4,0)</f>
        <v>64.958259587020649</v>
      </c>
      <c r="J4" s="170">
        <f>IF(CostoBruto!J4&gt;0,CostoBruto!J4+fijosXprenda!$D$4,0)</f>
        <v>66.073303834808257</v>
      </c>
      <c r="K4" s="170">
        <f>IF(CostoBruto!K4&gt;0,CostoBruto!K4+fijosXprenda!$D$4,0)</f>
        <v>0</v>
      </c>
      <c r="L4" s="170">
        <f>IF(CostoBruto!L4&gt;0,CostoBruto!L4+fijosXprenda!$D$4,0)</f>
        <v>67.188348082595866</v>
      </c>
      <c r="M4" s="170">
        <f>IF(CostoBruto!M4&gt;0,CostoBruto!M4+fijosXprenda!$D$4,0)</f>
        <v>72.303392330383474</v>
      </c>
      <c r="N4" s="170">
        <f>IF(CostoBruto!N4&gt;0,CostoBruto!N4+fijosXprenda!$D$4,0)</f>
        <v>73.418436578171082</v>
      </c>
      <c r="O4" s="170">
        <f>IF(CostoBruto!O4&gt;0,CostoBruto!O4+fijosXprenda!$D$4,0)</f>
        <v>74.533480825958705</v>
      </c>
      <c r="P4" s="170">
        <f>IF(CostoBruto!P4&gt;0,CostoBruto!P4+fijosXprenda!$D$4,0)</f>
        <v>75.967109144542775</v>
      </c>
      <c r="Q4" s="170">
        <f>IF(CostoBruto!Q4&gt;0,CostoBruto!Q4+fijosXprenda!$D$4,0)</f>
        <v>77.241445427728607</v>
      </c>
    </row>
    <row r="5" spans="1:18" ht="20.25" customHeight="1" thickBot="1" x14ac:dyDescent="0.3">
      <c r="A5" s="162">
        <v>3</v>
      </c>
      <c r="B5" s="158" t="s">
        <v>138</v>
      </c>
      <c r="C5" s="170">
        <f>IF(CostoBruto!C5&gt;0,CostoBruto!C5+fijosXprenda!$D$5,0)</f>
        <v>60.48758112094395</v>
      </c>
      <c r="D5" s="170">
        <f>IF(CostoBruto!D5&gt;0,CostoBruto!D5+fijosXprenda!$D$5,0)</f>
        <v>61.602625368731559</v>
      </c>
      <c r="E5" s="170">
        <f>IF(CostoBruto!E5&gt;0,CostoBruto!E5+fijosXprenda!$D$5,0)</f>
        <v>62.717669616519174</v>
      </c>
      <c r="F5" s="170">
        <f>IF(CostoBruto!F5&gt;0,CostoBruto!F5+fijosXprenda!$D$5,0)</f>
        <v>63.832713864306783</v>
      </c>
      <c r="G5" s="170">
        <f>IF(CostoBruto!G5&gt;0,CostoBruto!G5+fijosXprenda!$D$5,0)</f>
        <v>64.947758112094405</v>
      </c>
      <c r="H5" s="170">
        <f>IF(CostoBruto!H5&gt;0,CostoBruto!H5+fijosXprenda!$D$5,0)</f>
        <v>69.062802359882014</v>
      </c>
      <c r="I5" s="170">
        <f>IF(CostoBruto!I5&gt;0,CostoBruto!I5+fijosXprenda!$D$5,0)</f>
        <v>70.177846607669622</v>
      </c>
      <c r="J5" s="170">
        <f>IF(CostoBruto!J5&gt;0,CostoBruto!J5+fijosXprenda!$D$5,0)</f>
        <v>71.29289085545723</v>
      </c>
      <c r="K5" s="170">
        <f>IF(CostoBruto!K5&gt;0,CostoBruto!K5+fijosXprenda!$D$5,0)</f>
        <v>0</v>
      </c>
      <c r="L5" s="170">
        <f>IF(CostoBruto!L5&gt;0,CostoBruto!L5+fijosXprenda!$D$5,0)</f>
        <v>72.407935103244839</v>
      </c>
      <c r="M5" s="170">
        <f>IF(CostoBruto!M5&gt;0,CostoBruto!M5+fijosXprenda!$D$5,0)</f>
        <v>77.522979351032461</v>
      </c>
      <c r="N5" s="170">
        <f>IF(CostoBruto!N5&gt;0,CostoBruto!N5+fijosXprenda!$D$5,0)</f>
        <v>78.63802359882007</v>
      </c>
      <c r="O5" s="170">
        <f>IF(CostoBruto!O5&gt;0,CostoBruto!O5+fijosXprenda!$D$5,0)</f>
        <v>79.753067846607678</v>
      </c>
      <c r="P5" s="170">
        <f>IF(CostoBruto!P5&gt;0,CostoBruto!P5+fijosXprenda!$D$5,0)</f>
        <v>81.186696165191748</v>
      </c>
      <c r="Q5" s="170">
        <f>IF(CostoBruto!Q5&gt;0,CostoBruto!Q5+fijosXprenda!$D$5,0)</f>
        <v>82.461032448377594</v>
      </c>
    </row>
    <row r="6" spans="1:18" ht="20.25" customHeight="1" thickBot="1" x14ac:dyDescent="0.3">
      <c r="A6" s="163">
        <v>4</v>
      </c>
      <c r="B6" s="160" t="s">
        <v>3</v>
      </c>
      <c r="C6" s="170">
        <f>IF(CostoBruto!C6&gt;0,CostoBruto!C6+fijosXprenda!$D$6,0)</f>
        <v>0</v>
      </c>
      <c r="D6" s="170">
        <f>IF(CostoBruto!D6&gt;0,CostoBruto!D6+fijosXprenda!$D$6,0)</f>
        <v>0</v>
      </c>
      <c r="E6" s="170">
        <f>IF(CostoBruto!E6&gt;0,CostoBruto!E6+fijosXprenda!$D$6,0)</f>
        <v>0</v>
      </c>
      <c r="F6" s="170">
        <f>IF(CostoBruto!F6&gt;0,CostoBruto!F6+fijosXprenda!$D$6,0)</f>
        <v>0</v>
      </c>
      <c r="G6" s="170">
        <f>IF(CostoBruto!G6&gt;0,CostoBruto!G6+fijosXprenda!$D$6,0)</f>
        <v>0</v>
      </c>
      <c r="H6" s="170">
        <f>IF(CostoBruto!H6&gt;0,CostoBruto!H6+fijosXprenda!$D$6,0)</f>
        <v>0</v>
      </c>
      <c r="I6" s="170">
        <f>IF(CostoBruto!I6&gt;0,CostoBruto!I6+fijosXprenda!$D$6,0)</f>
        <v>0</v>
      </c>
      <c r="J6" s="170">
        <f>IF(CostoBruto!J6&gt;0,CostoBruto!J6+fijosXprenda!$D$6,0)</f>
        <v>0</v>
      </c>
      <c r="K6" s="170">
        <f>IF(CostoBruto!K6&gt;0,CostoBruto!K6+fijosXprenda!$D$6,0)</f>
        <v>14.471960784313726</v>
      </c>
      <c r="L6" s="170">
        <f>IF(CostoBruto!L6&gt;0,CostoBruto!L6+fijosXprenda!$D$6,0)</f>
        <v>0</v>
      </c>
      <c r="M6" s="170">
        <f>IF(CostoBruto!M6&gt;0,CostoBruto!M6+fijosXprenda!$D$6,0)</f>
        <v>0</v>
      </c>
      <c r="N6" s="170">
        <f>IF(CostoBruto!N6&gt;0,CostoBruto!N6+fijosXprenda!$D$6,0)</f>
        <v>0</v>
      </c>
      <c r="O6" s="170">
        <f>IF(CostoBruto!O6&gt;0,CostoBruto!O6+fijosXprenda!$D$6,0)</f>
        <v>0</v>
      </c>
      <c r="P6" s="170">
        <f>IF(CostoBruto!P6&gt;0,CostoBruto!P6+fijosXprenda!$D$6,0)</f>
        <v>0</v>
      </c>
      <c r="Q6" s="170">
        <f>IF(CostoBruto!Q6&gt;0,CostoBruto!Q6+fijosXprenda!$D$6,0)</f>
        <v>0</v>
      </c>
    </row>
    <row r="7" spans="1:18" ht="20.25" customHeight="1" thickBot="1" x14ac:dyDescent="0.3">
      <c r="A7" s="162">
        <v>5</v>
      </c>
      <c r="B7" s="158" t="s">
        <v>5</v>
      </c>
      <c r="C7" s="170">
        <f>IF(CostoBruto!C7&gt;0,CostoBruto!C7+fijosXprenda!$D$7,0)</f>
        <v>50.923455284552844</v>
      </c>
      <c r="D7" s="170">
        <f>IF(CostoBruto!D7&gt;0,CostoBruto!D7+fijosXprenda!$D$7,0)</f>
        <v>53.504918699186995</v>
      </c>
      <c r="E7" s="170">
        <f>IF(CostoBruto!E7&gt;0,CostoBruto!E7+fijosXprenda!$D$7,0)</f>
        <v>56.086382113821138</v>
      </c>
      <c r="F7" s="170">
        <f>IF(CostoBruto!F7&gt;0,CostoBruto!F7+fijosXprenda!$D$7,0)</f>
        <v>58.790772357723576</v>
      </c>
      <c r="G7" s="170">
        <f>IF(CostoBruto!G7&gt;0,CostoBruto!G7+fijosXprenda!$D$7,0)</f>
        <v>61.372235772357726</v>
      </c>
      <c r="H7" s="170">
        <f>IF(CostoBruto!H7&gt;0,CostoBruto!H7+fijosXprenda!$D$7,0)</f>
        <v>66.584918699187</v>
      </c>
      <c r="I7" s="170">
        <f>IF(CostoBruto!I7&gt;0,CostoBruto!I7+fijosXprenda!$D$7,0)</f>
        <v>68.79760162601626</v>
      </c>
      <c r="J7" s="170">
        <f>IF(CostoBruto!J7&gt;0,CostoBruto!J7+fijosXprenda!$D$7,0)</f>
        <v>71.010284552845533</v>
      </c>
      <c r="K7" s="170">
        <f>IF(CostoBruto!K7&gt;0,CostoBruto!K7+fijosXprenda!$D$7,0)</f>
        <v>0</v>
      </c>
      <c r="L7" s="170">
        <f>IF(CostoBruto!L7&gt;0,CostoBruto!L7+fijosXprenda!$D$7,0)</f>
        <v>76.977113821138218</v>
      </c>
      <c r="M7" s="170">
        <f>IF(CostoBruto!M7&gt;0,CostoBruto!M7+fijosXprenda!$D$7,0)</f>
        <v>0</v>
      </c>
      <c r="N7" s="170">
        <f>IF(CostoBruto!N7&gt;0,CostoBruto!N7+fijosXprenda!$D$7,0)</f>
        <v>0</v>
      </c>
      <c r="O7" s="170">
        <f>IF(CostoBruto!O7&gt;0,CostoBruto!O7+fijosXprenda!$D$7,0)</f>
        <v>0</v>
      </c>
      <c r="P7" s="170">
        <f>IF(CostoBruto!P7&gt;0,CostoBruto!P7+fijosXprenda!$D$7,0)</f>
        <v>0</v>
      </c>
      <c r="Q7" s="170">
        <f>IF(CostoBruto!Q7&gt;0,CostoBruto!Q7+fijosXprenda!$D$7,0)</f>
        <v>0</v>
      </c>
    </row>
    <row r="8" spans="1:18" ht="20.25" customHeight="1" thickBot="1" x14ac:dyDescent="0.3">
      <c r="A8" s="163">
        <v>6</v>
      </c>
      <c r="B8" s="160" t="s">
        <v>6</v>
      </c>
      <c r="C8" s="170">
        <f>IF(CostoBruto!C8&gt;0,CostoBruto!C8+fijosXprenda!$D$8,0)</f>
        <v>44.819268292682935</v>
      </c>
      <c r="D8" s="170">
        <f>IF(CostoBruto!D8&gt;0,CostoBruto!D8+fijosXprenda!$D$8,0)</f>
        <v>45.802682926829263</v>
      </c>
      <c r="E8" s="170">
        <f>IF(CostoBruto!E8&gt;0,CostoBruto!E8+fijosXprenda!$D$8,0)</f>
        <v>47.154878048780489</v>
      </c>
      <c r="F8" s="170">
        <f>IF(CostoBruto!F8&gt;0,CostoBruto!F8+fijosXprenda!$D$8,0)</f>
        <v>48.75292682926829</v>
      </c>
      <c r="G8" s="170">
        <f>IF(CostoBruto!G8&gt;0,CostoBruto!G8+fijosXprenda!$D$8,0)</f>
        <v>50.965609756097564</v>
      </c>
      <c r="H8" s="170">
        <f>IF(CostoBruto!H8&gt;0,CostoBruto!H8+fijosXprenda!$D$8,0)</f>
        <v>56.055365853658543</v>
      </c>
      <c r="I8" s="170">
        <f>IF(CostoBruto!I8&gt;0,CostoBruto!I8+fijosXprenda!$D$8,0)</f>
        <v>56.792926829268296</v>
      </c>
      <c r="J8" s="170">
        <f>IF(CostoBruto!J8&gt;0,CostoBruto!J8+fijosXprenda!$D$8,0)</f>
        <v>58.390975609756097</v>
      </c>
      <c r="K8" s="170">
        <f>IF(CostoBruto!K8&gt;0,CostoBruto!K8+fijosXprenda!$D$8,0)</f>
        <v>0</v>
      </c>
      <c r="L8" s="170">
        <f>IF(CostoBruto!L8&gt;0,CostoBruto!L8+fijosXprenda!$D$8,0)</f>
        <v>64.603658536585371</v>
      </c>
      <c r="M8" s="170">
        <f>IF(CostoBruto!M8&gt;0,CostoBruto!M8+fijosXprenda!$D$8,0)</f>
        <v>0</v>
      </c>
      <c r="N8" s="170">
        <f>IF(CostoBruto!N8&gt;0,CostoBruto!N8+fijosXprenda!$D$8,0)</f>
        <v>0</v>
      </c>
      <c r="O8" s="170">
        <f>IF(CostoBruto!O8&gt;0,CostoBruto!O8+fijosXprenda!$D$8,0)</f>
        <v>0</v>
      </c>
      <c r="P8" s="170">
        <f>IF(CostoBruto!P8&gt;0,CostoBruto!P8+fijosXprenda!$D$8,0)</f>
        <v>0</v>
      </c>
      <c r="Q8" s="170">
        <f>IF(CostoBruto!Q8&gt;0,CostoBruto!Q8+fijosXprenda!$D$8,0)</f>
        <v>0</v>
      </c>
    </row>
    <row r="9" spans="1:18" ht="20.25" customHeight="1" thickBot="1" x14ac:dyDescent="0.3">
      <c r="A9" s="162">
        <v>7</v>
      </c>
      <c r="B9" s="158" t="s">
        <v>7</v>
      </c>
      <c r="C9" s="170">
        <f>IF(CostoBruto!C9&gt;0,CostoBruto!C9+fijosXprenda!$D$9,0)</f>
        <v>40.556013333333333</v>
      </c>
      <c r="D9" s="170">
        <f>IF(CostoBruto!D9&gt;0,CostoBruto!D9+fijosXprenda!$D$9,0)</f>
        <v>41.289333333333332</v>
      </c>
      <c r="E9" s="170">
        <f>IF(CostoBruto!E9&gt;0,CostoBruto!E9+fijosXprenda!$D$9,0)</f>
        <v>42.022653333333331</v>
      </c>
      <c r="F9" s="170">
        <f>IF(CostoBruto!F9&gt;0,CostoBruto!F9+fijosXprenda!$D$9,0)</f>
        <v>43.698813333333334</v>
      </c>
      <c r="G9" s="170">
        <f>IF(CostoBruto!G9&gt;0,CostoBruto!G9+fijosXprenda!$D$9,0)</f>
        <v>45.374973333333337</v>
      </c>
      <c r="H9" s="170">
        <f>IF(CostoBruto!H9&gt;0,CostoBruto!H9+fijosXprenda!$D$9,0)</f>
        <v>45.898773333333331</v>
      </c>
      <c r="I9" s="170">
        <f>IF(CostoBruto!I9&gt;0,CostoBruto!I9+fijosXprenda!$D$9,0)</f>
        <v>46.422573333333332</v>
      </c>
      <c r="J9" s="170">
        <f>IF(CostoBruto!J9&gt;0,CostoBruto!J9+fijosXprenda!$D$9,0)</f>
        <v>47.155893333333331</v>
      </c>
      <c r="K9" s="170">
        <f>IF(CostoBruto!K9&gt;0,CostoBruto!K9+fijosXprenda!$D$9,0)</f>
        <v>0</v>
      </c>
      <c r="L9" s="170">
        <f>IF(CostoBruto!L9&gt;0,CostoBruto!L9+fijosXprenda!$D$9,0)</f>
        <v>47.889213333333338</v>
      </c>
      <c r="M9" s="170">
        <f>IF(CostoBruto!M9&gt;0,CostoBruto!M9+fijosXprenda!$D$9,0)</f>
        <v>48.622533333333337</v>
      </c>
      <c r="N9" s="170">
        <f>IF(CostoBruto!N9&gt;0,CostoBruto!N9+fijosXprenda!$D$9,0)</f>
        <v>49.355853333333336</v>
      </c>
      <c r="O9" s="170">
        <f>IF(CostoBruto!O9&gt;0,CostoBruto!O9+fijosXprenda!$D$9,0)</f>
        <v>50.29869333333334</v>
      </c>
      <c r="P9" s="170">
        <f>IF(CostoBruto!P9&gt;0,CostoBruto!P9+fijosXprenda!$D$9,0)</f>
        <v>51.241533333333336</v>
      </c>
      <c r="Q9" s="170">
        <f>IF(CostoBruto!Q9&gt;0,CostoBruto!Q9+fijosXprenda!$D$9,0)</f>
        <v>53.231973333333336</v>
      </c>
    </row>
    <row r="10" spans="1:18" ht="20.25" customHeight="1" thickBot="1" x14ac:dyDescent="0.3">
      <c r="A10" s="163">
        <v>8</v>
      </c>
      <c r="B10" s="160" t="s">
        <v>133</v>
      </c>
      <c r="C10" s="170">
        <f>IF(CostoBruto!C10&gt;0,CostoBruto!C10+fijosXprenda!$D$10,0)</f>
        <v>43.224080000000001</v>
      </c>
      <c r="D10" s="170">
        <f>IF(CostoBruto!D10&gt;0,CostoBruto!D10+fijosXprenda!$D$10,0)</f>
        <v>43.9574</v>
      </c>
      <c r="E10" s="170">
        <f>IF(CostoBruto!E10&gt;0,CostoBruto!E10+fijosXprenda!$D$10,0)</f>
        <v>44.690719999999999</v>
      </c>
      <c r="F10" s="170">
        <f>IF(CostoBruto!F10&gt;0,CostoBruto!F10+fijosXprenda!$D$10,0)</f>
        <v>46.366880000000002</v>
      </c>
      <c r="G10" s="170">
        <f>IF(CostoBruto!G10&gt;0,CostoBruto!G10+fijosXprenda!$D$10,0)</f>
        <v>49.09064</v>
      </c>
      <c r="H10" s="170">
        <f>IF(CostoBruto!H10&gt;0,CostoBruto!H10+fijosXprenda!$D$10,0)</f>
        <v>49.614439999999995</v>
      </c>
      <c r="I10" s="170">
        <f>IF(CostoBruto!I10&gt;0,CostoBruto!I10+fijosXprenda!$D$10,0)</f>
        <v>50.138240000000003</v>
      </c>
      <c r="J10" s="170">
        <f>IF(CostoBruto!J10&gt;0,CostoBruto!J10+fijosXprenda!$D$10,0)</f>
        <v>50.871559999999995</v>
      </c>
      <c r="K10" s="170">
        <f>IF(CostoBruto!K10&gt;0,CostoBruto!K10+fijosXprenda!$D$10,0)</f>
        <v>0</v>
      </c>
      <c r="L10" s="170">
        <f>IF(CostoBruto!L10&gt;0,CostoBruto!L10+fijosXprenda!$D$10,0)</f>
        <v>52.128679999999996</v>
      </c>
      <c r="M10" s="170">
        <f>IF(CostoBruto!M10&gt;0,CostoBruto!M10+fijosXprenda!$D$10,0)</f>
        <v>52.862000000000002</v>
      </c>
      <c r="N10" s="170">
        <f>IF(CostoBruto!N10&gt;0,CostoBruto!N10+fijosXprenda!$D$10,0)</f>
        <v>53.595319999999994</v>
      </c>
      <c r="O10" s="170">
        <f>IF(CostoBruto!O10&gt;0,CostoBruto!O10+fijosXprenda!$D$10,0)</f>
        <v>54.538159999999998</v>
      </c>
      <c r="P10" s="170">
        <f>IF(CostoBruto!P10&gt;0,CostoBruto!P10+fijosXprenda!$D$10,0)</f>
        <v>55.481000000000002</v>
      </c>
      <c r="Q10" s="170">
        <f>IF(CostoBruto!Q10&gt;0,CostoBruto!Q10+fijosXprenda!$D$10,0)</f>
        <v>57.471440000000001</v>
      </c>
    </row>
    <row r="11" spans="1:18" ht="20.25" customHeight="1" thickBot="1" x14ac:dyDescent="0.3">
      <c r="A11" s="162">
        <v>9</v>
      </c>
      <c r="B11" s="158" t="s">
        <v>8</v>
      </c>
      <c r="C11" s="170">
        <f>IF(CostoBruto!C11&gt;0,CostoBruto!C11+fijosXprenda!$D$11,0)</f>
        <v>21.390292237442925</v>
      </c>
      <c r="D11" s="170">
        <f>IF(CostoBruto!D11&gt;0,CostoBruto!D11+fijosXprenda!$D$11,0)</f>
        <v>21.65330593607306</v>
      </c>
      <c r="E11" s="170">
        <f>IF(CostoBruto!E11&gt;0,CostoBruto!E11+fijosXprenda!$D$11,0)</f>
        <v>21.9163196347032</v>
      </c>
      <c r="F11" s="170">
        <f>IF(CostoBruto!F11&gt;0,CostoBruto!F11+fijosXprenda!$D$11,0)</f>
        <v>22.113579908675803</v>
      </c>
      <c r="G11" s="170">
        <f>IF(CostoBruto!G11&gt;0,CostoBruto!G11+fijosXprenda!$D$11,0)</f>
        <v>22.310840182648402</v>
      </c>
      <c r="H11" s="170">
        <f>IF(CostoBruto!H11&gt;0,CostoBruto!H11+fijosXprenda!$D$11,0)</f>
        <v>22.639607305936075</v>
      </c>
      <c r="I11" s="170">
        <f>IF(CostoBruto!I11&gt;0,CostoBruto!I11+fijosXprenda!$D$11,0)</f>
        <v>23.297141552511416</v>
      </c>
      <c r="J11" s="170">
        <f>IF(CostoBruto!J11&gt;0,CostoBruto!J11+fijosXprenda!$D$11,0)</f>
        <v>23.823168949771691</v>
      </c>
      <c r="K11" s="170">
        <f>IF(CostoBruto!K11&gt;0,CostoBruto!K11+fijosXprenda!$D$11,0)</f>
        <v>0</v>
      </c>
      <c r="L11" s="170">
        <f>IF(CostoBruto!L11&gt;0,CostoBruto!L11+fijosXprenda!$D$11,0)</f>
        <v>24.28344292237443</v>
      </c>
      <c r="M11" s="170">
        <f>IF(CostoBruto!M11&gt;0,CostoBruto!M11+fijosXprenda!$D$11,0)</f>
        <v>24.677963470319636</v>
      </c>
      <c r="N11" s="170">
        <f>IF(CostoBruto!N11&gt;0,CostoBruto!N11+fijosXprenda!$D$11,0)</f>
        <v>25.072484018264841</v>
      </c>
      <c r="O11" s="170">
        <f>IF(CostoBruto!O11&gt;0,CostoBruto!O11+fijosXprenda!$D$11,0)</f>
        <v>25.401251141552514</v>
      </c>
      <c r="P11" s="170">
        <f>IF(CostoBruto!P11&gt;0,CostoBruto!P11+fijosXprenda!$D$11,0)</f>
        <v>25.993031963470322</v>
      </c>
      <c r="Q11" s="170">
        <f>IF(CostoBruto!Q11&gt;0,CostoBruto!Q11+fijosXprenda!$D$11,0)</f>
        <v>26.519059360730594</v>
      </c>
    </row>
    <row r="12" spans="1:18" ht="20.25" customHeight="1" thickBot="1" x14ac:dyDescent="0.3">
      <c r="A12" s="163">
        <v>10</v>
      </c>
      <c r="B12" s="160" t="s">
        <v>134</v>
      </c>
      <c r="C12" s="170">
        <f>IF(CostoBruto!C12&gt;0,CostoBruto!C12+fijosXprenda!$D$12,0)</f>
        <v>26.022133333333333</v>
      </c>
      <c r="D12" s="170">
        <f>IF(CostoBruto!D12&gt;0,CostoBruto!D12+fijosXprenda!$D$12,0)</f>
        <v>27.058933333333332</v>
      </c>
      <c r="E12" s="170">
        <f>IF(CostoBruto!E12&gt;0,CostoBruto!E12+fijosXprenda!$D$12,0)</f>
        <v>28.095733333333335</v>
      </c>
      <c r="F12" s="170">
        <f>IF(CostoBruto!F12&gt;0,CostoBruto!F12+fijosXprenda!$D$12,0)</f>
        <v>29.132533333333335</v>
      </c>
      <c r="G12" s="170">
        <f>IF(CostoBruto!G12&gt;0,CostoBruto!G12+fijosXprenda!$D$12,0)</f>
        <v>30.169333333333334</v>
      </c>
      <c r="H12" s="170">
        <f>IF(CostoBruto!H12&gt;0,CostoBruto!H12+fijosXprenda!$D$12,0)</f>
        <v>33.206133333333334</v>
      </c>
      <c r="I12" s="170">
        <f>IF(CostoBruto!I12&gt;0,CostoBruto!I12+fijosXprenda!$D$12,0)</f>
        <v>34.242933333333333</v>
      </c>
      <c r="J12" s="170">
        <f>IF(CostoBruto!J12&gt;0,CostoBruto!J12+fijosXprenda!$D$12,0)</f>
        <v>35.279733333333333</v>
      </c>
      <c r="K12" s="170">
        <f>IF(CostoBruto!K12&gt;0,CostoBruto!K12+fijosXprenda!$D$12,0)</f>
        <v>0</v>
      </c>
      <c r="L12" s="170">
        <f>IF(CostoBruto!L12&gt;0,CostoBruto!L12+fijosXprenda!$D$12,0)</f>
        <v>36.316533333333339</v>
      </c>
      <c r="M12" s="170">
        <f>IF(CostoBruto!M12&gt;0,CostoBruto!M12+fijosXprenda!$D$12,0)</f>
        <v>37.353333333333332</v>
      </c>
      <c r="N12" s="170">
        <f>IF(CostoBruto!N12&gt;0,CostoBruto!N12+fijosXprenda!$D$12,0)</f>
        <v>38.649333333333338</v>
      </c>
      <c r="O12" s="170">
        <f>IF(CostoBruto!O12&gt;0,CostoBruto!O12+fijosXprenda!$D$12,0)</f>
        <v>39.945333333333338</v>
      </c>
      <c r="P12" s="170">
        <f>IF(CostoBruto!P12&gt;0,CostoBruto!P12+fijosXprenda!$D$12,0)</f>
        <v>41.111733333333341</v>
      </c>
      <c r="Q12" s="170">
        <f>IF(CostoBruto!Q12&gt;0,CostoBruto!Q12+fijosXprenda!$D$12,0)</f>
        <v>42.537333333333336</v>
      </c>
    </row>
    <row r="13" spans="1:18" ht="20.25" customHeight="1" thickBot="1" x14ac:dyDescent="0.3">
      <c r="A13" s="162">
        <v>11</v>
      </c>
      <c r="B13" s="158" t="s">
        <v>135</v>
      </c>
      <c r="C13" s="170">
        <f>IF(CostoBruto!C13&gt;0,CostoBruto!C13+fijosXprenda!$D$13,0)</f>
        <v>31.636400000000002</v>
      </c>
      <c r="D13" s="170">
        <f>IF(CostoBruto!D13&gt;0,CostoBruto!D13+fijosXprenda!$D$13,0)</f>
        <v>33.321199999999997</v>
      </c>
      <c r="E13" s="170">
        <f>IF(CostoBruto!E13&gt;0,CostoBruto!E13+fijosXprenda!$D$13,0)</f>
        <v>35.006</v>
      </c>
      <c r="F13" s="170">
        <f>IF(CostoBruto!F13&gt;0,CostoBruto!F13+fijosXprenda!$D$13,0)</f>
        <v>36.302</v>
      </c>
      <c r="G13" s="170">
        <f>IF(CostoBruto!G13&gt;0,CostoBruto!G13+fijosXprenda!$D$13,0)</f>
        <v>37.597999999999999</v>
      </c>
      <c r="H13" s="170">
        <f>IF(CostoBruto!H13&gt;0,CostoBruto!H13+fijosXprenda!$D$13,0)</f>
        <v>49.058799999999998</v>
      </c>
      <c r="I13" s="170">
        <f>IF(CostoBruto!I13&gt;0,CostoBruto!I13+fijosXprenda!$D$13,0)</f>
        <v>51.91</v>
      </c>
      <c r="J13" s="170">
        <f>IF(CostoBruto!J13&gt;0,CostoBruto!J13+fijosXprenda!$D$13,0)</f>
        <v>53.465200000000003</v>
      </c>
      <c r="K13" s="170">
        <f>IF(CostoBruto!K13&gt;0,CostoBruto!K13+fijosXprenda!$D$13,0)</f>
        <v>0</v>
      </c>
      <c r="L13" s="170">
        <f>IF(CostoBruto!L13&gt;0,CostoBruto!L13+fijosXprenda!$D$13,0)</f>
        <v>55.279600000000002</v>
      </c>
      <c r="M13" s="170">
        <f>IF(CostoBruto!M13&gt;0,CostoBruto!M13+fijosXprenda!$D$13,0)</f>
        <v>57.798000000000002</v>
      </c>
      <c r="N13" s="170">
        <f>IF(CostoBruto!N13&gt;0,CostoBruto!N13+fijosXprenda!$D$13,0)</f>
        <v>58.186800000000005</v>
      </c>
      <c r="O13" s="170">
        <f>IF(CostoBruto!O13&gt;0,CostoBruto!O13+fijosXprenda!$D$13,0)</f>
        <v>59.094000000000001</v>
      </c>
      <c r="P13" s="170">
        <f>IF(CostoBruto!P13&gt;0,CostoBruto!P13+fijosXprenda!$D$13,0)</f>
        <v>61.038000000000004</v>
      </c>
      <c r="Q13" s="170">
        <f>IF(CostoBruto!Q13&gt;0,CostoBruto!Q13+fijosXprenda!$D$13,0)</f>
        <v>62.722799999999999</v>
      </c>
    </row>
    <row r="14" spans="1:18" ht="20.25" customHeight="1" thickBot="1" x14ac:dyDescent="0.3">
      <c r="A14" s="163">
        <v>12</v>
      </c>
      <c r="B14" s="160" t="s">
        <v>9</v>
      </c>
      <c r="C14" s="170">
        <f>IF(CostoBruto!C14&gt;0,CostoBruto!C14+fijosXprenda!$D$14,0)</f>
        <v>0</v>
      </c>
      <c r="D14" s="170">
        <f>IF(CostoBruto!D14&gt;0,CostoBruto!D14+fijosXprenda!$D$14,0)</f>
        <v>0</v>
      </c>
      <c r="E14" s="170">
        <f>IF(CostoBruto!E14&gt;0,CostoBruto!E14+fijosXprenda!$D$14,0)</f>
        <v>0</v>
      </c>
      <c r="F14" s="170">
        <f>IF(CostoBruto!F14&gt;0,CostoBruto!F14+fijosXprenda!$D$14,0)</f>
        <v>0</v>
      </c>
      <c r="G14" s="170">
        <f>IF(CostoBruto!G14&gt;0,CostoBruto!G14+fijosXprenda!$D$14,0)</f>
        <v>0</v>
      </c>
      <c r="H14" s="170">
        <f>IF(CostoBruto!H14&gt;0,CostoBruto!H14+fijosXprenda!$D$14,0)</f>
        <v>0</v>
      </c>
      <c r="I14" s="170">
        <f>IF(CostoBruto!I14&gt;0,CostoBruto!I14+fijosXprenda!$D$14,0)</f>
        <v>0</v>
      </c>
      <c r="J14" s="170">
        <f>IF(CostoBruto!J14&gt;0,CostoBruto!J14+fijosXprenda!$D$14,0)</f>
        <v>69.739430894308953</v>
      </c>
      <c r="K14" s="170">
        <f>IF(CostoBruto!K14&gt;0,CostoBruto!K14+fijosXprenda!$D$14,0)</f>
        <v>71.829186991869932</v>
      </c>
      <c r="L14" s="170">
        <f>IF(CostoBruto!L14&gt;0,CostoBruto!L14+fijosXprenda!$D$14,0)</f>
        <v>73.918943089430911</v>
      </c>
      <c r="M14" s="170">
        <f>IF(CostoBruto!M14&gt;0,CostoBruto!M14+fijosXprenda!$D$14,0)</f>
        <v>75.762845528455301</v>
      </c>
      <c r="N14" s="170">
        <f>IF(CostoBruto!N14&gt;0,CostoBruto!N14+fijosXprenda!$D$14,0)</f>
        <v>77.237967479674808</v>
      </c>
      <c r="O14" s="170">
        <f>IF(CostoBruto!O14&gt;0,CostoBruto!O14+fijosXprenda!$D$14,0)</f>
        <v>77.975528455284561</v>
      </c>
      <c r="P14" s="170">
        <f>IF(CostoBruto!P14&gt;0,CostoBruto!P14+fijosXprenda!$D$14,0)</f>
        <v>78.836016260162623</v>
      </c>
      <c r="Q14" s="170">
        <f>IF(CostoBruto!Q14&gt;0,CostoBruto!Q14+fijosXprenda!$D$14,0)</f>
        <v>80.06528455284554</v>
      </c>
    </row>
    <row r="15" spans="1:18" ht="20.25" customHeight="1" thickBot="1" x14ac:dyDescent="0.3">
      <c r="A15" s="162">
        <v>13</v>
      </c>
      <c r="B15" s="158" t="s">
        <v>10</v>
      </c>
      <c r="C15" s="170">
        <f>IF(CostoBruto!C15&gt;0,CostoBruto!C15+fijosXprenda!$D$15,0)</f>
        <v>50.170648967551628</v>
      </c>
      <c r="D15" s="170">
        <f>IF(CostoBruto!D15&gt;0,CostoBruto!D15+fijosXprenda!$D$15,0)</f>
        <v>51.126401179940999</v>
      </c>
      <c r="E15" s="170">
        <f>IF(CostoBruto!E15&gt;0,CostoBruto!E15+fijosXprenda!$D$15,0)</f>
        <v>51.92286135693216</v>
      </c>
      <c r="F15" s="170">
        <f>IF(CostoBruto!F15&gt;0,CostoBruto!F15+fijosXprenda!$D$15,0)</f>
        <v>54.152949852507376</v>
      </c>
      <c r="G15" s="170">
        <f>IF(CostoBruto!G15&gt;0,CostoBruto!G15+fijosXprenda!$D$15,0)</f>
        <v>55.74587020648967</v>
      </c>
      <c r="H15" s="170">
        <f>IF(CostoBruto!H15&gt;0,CostoBruto!H15+fijosXprenda!$D$15,0)</f>
        <v>59.860914454277278</v>
      </c>
      <c r="I15" s="170">
        <f>IF(CostoBruto!I15&gt;0,CostoBruto!I15+fijosXprenda!$D$15,0)</f>
        <v>60.17949852507374</v>
      </c>
      <c r="J15" s="170">
        <f>IF(CostoBruto!J15&gt;0,CostoBruto!J15+fijosXprenda!$D$15,0)</f>
        <v>60.975958702064901</v>
      </c>
      <c r="K15" s="170">
        <f>IF(CostoBruto!K15&gt;0,CostoBruto!K15+fijosXprenda!$D$15,0)</f>
        <v>61.931710914454285</v>
      </c>
      <c r="L15" s="170">
        <f>IF(CostoBruto!L15&gt;0,CostoBruto!L15+fijosXprenda!$D$15,0)</f>
        <v>66.250294985250733</v>
      </c>
      <c r="M15" s="170">
        <f>IF(CostoBruto!M15&gt;0,CostoBruto!M15+fijosXprenda!$D$15,0)</f>
        <v>66.728171091445432</v>
      </c>
      <c r="N15" s="170">
        <f>IF(CostoBruto!N15&gt;0,CostoBruto!N15+fijosXprenda!$D$15,0)</f>
        <v>67.04675516224188</v>
      </c>
      <c r="O15" s="170">
        <f>IF(CostoBruto!O15&gt;0,CostoBruto!O15+fijosXprenda!$D$15,0)</f>
        <v>68.321091445427726</v>
      </c>
      <c r="P15" s="170">
        <f>IF(CostoBruto!P15&gt;0,CostoBruto!P15+fijosXprenda!$D$15,0)</f>
        <v>69.117551622418873</v>
      </c>
      <c r="Q15" s="170">
        <f>IF(CostoBruto!Q15&gt;0,CostoBruto!Q15+fijosXprenda!$D$15,0)</f>
        <v>69.914011799410034</v>
      </c>
    </row>
    <row r="16" spans="1:18" ht="20.25" customHeight="1" thickBot="1" x14ac:dyDescent="0.3">
      <c r="A16" s="162">
        <v>14</v>
      </c>
      <c r="B16" s="158" t="s">
        <v>171</v>
      </c>
      <c r="C16" s="170">
        <f>IF(CostoBruto!C16&gt;0,CostoBruto!C16+fijosXprenda!$D$16,0)</f>
        <v>52.001150442477872</v>
      </c>
      <c r="D16" s="170">
        <f>IF(CostoBruto!D16&gt;0,CostoBruto!D16+fijosXprenda!$D$16,0)</f>
        <v>52.956902654867257</v>
      </c>
      <c r="E16" s="170">
        <f>IF(CostoBruto!E16&gt;0,CostoBruto!E16+fijosXprenda!$D$16,0)</f>
        <v>53.753362831858404</v>
      </c>
      <c r="F16" s="170">
        <f>IF(CostoBruto!F16&gt;0,CostoBruto!F16+fijosXprenda!$D$16,0)</f>
        <v>55.983451327433627</v>
      </c>
      <c r="G16" s="170">
        <f>IF(CostoBruto!G16&gt;0,CostoBruto!G16+fijosXprenda!$D$16,0)</f>
        <v>57.735663716814159</v>
      </c>
      <c r="H16" s="170">
        <f>IF(CostoBruto!H16&gt;0,CostoBruto!H16+fijosXprenda!$D$16,0)</f>
        <v>61.850707964601767</v>
      </c>
      <c r="I16" s="170">
        <f>IF(CostoBruto!I16&gt;0,CostoBruto!I16+fijosXprenda!$D$16,0)</f>
        <v>62.169292035398229</v>
      </c>
      <c r="J16" s="170">
        <f>IF(CostoBruto!J16&gt;0,CostoBruto!J16+fijosXprenda!$D$16,0)</f>
        <v>62.965752212389383</v>
      </c>
      <c r="K16" s="170">
        <f>IF(CostoBruto!K16&gt;0,CostoBruto!K16+fijosXprenda!$D$16,0)</f>
        <v>63.92150442477876</v>
      </c>
      <c r="L16" s="170">
        <f>IF(CostoBruto!L16&gt;0,CostoBruto!L16+fijosXprenda!$D$16,0)</f>
        <v>68.558672566371683</v>
      </c>
      <c r="M16" s="170">
        <f>IF(CostoBruto!M16&gt;0,CostoBruto!M16+fijosXprenda!$D$16,0)</f>
        <v>69.036548672566369</v>
      </c>
      <c r="N16" s="170">
        <f>IF(CostoBruto!N16&gt;0,CostoBruto!N16+fijosXprenda!$D$16,0)</f>
        <v>69.35513274336283</v>
      </c>
      <c r="O16" s="170">
        <f>IF(CostoBruto!O16&gt;0,CostoBruto!O16+fijosXprenda!$D$16,0)</f>
        <v>70.629469026548676</v>
      </c>
      <c r="P16" s="170">
        <f>IF(CostoBruto!P16&gt;0,CostoBruto!P16+fijosXprenda!$D$16,0)</f>
        <v>71.425929203539823</v>
      </c>
      <c r="Q16" s="170">
        <f>IF(CostoBruto!Q16&gt;0,CostoBruto!Q16+fijosXprenda!$D$16,0)</f>
        <v>72.222389380530984</v>
      </c>
    </row>
    <row r="17" spans="1:17" ht="20.25" customHeight="1" thickBot="1" x14ac:dyDescent="0.3">
      <c r="A17" s="163">
        <v>15</v>
      </c>
      <c r="B17" s="160" t="s">
        <v>11</v>
      </c>
      <c r="C17" s="170">
        <f>IF(CostoBruto!C17&gt;0,CostoBruto!C17+fijosXprenda!$D$17,0)</f>
        <v>13.571960784313726</v>
      </c>
      <c r="D17" s="170">
        <f>IF(CostoBruto!D17&gt;0,CostoBruto!D17+fijosXprenda!$D$17,0)</f>
        <v>0</v>
      </c>
      <c r="E17" s="170">
        <f>IF(CostoBruto!E17&gt;0,CostoBruto!E17+fijosXprenda!$D$17,0)</f>
        <v>0</v>
      </c>
      <c r="F17" s="170">
        <f>IF(CostoBruto!F17&gt;0,CostoBruto!F17+fijosXprenda!$D$17,0)</f>
        <v>0</v>
      </c>
      <c r="G17" s="170">
        <f>IF(CostoBruto!G17&gt;0,CostoBruto!G17+fijosXprenda!$D$17,0)</f>
        <v>0</v>
      </c>
      <c r="H17" s="170">
        <f>IF(CostoBruto!H17&gt;0,CostoBruto!H17+fijosXprenda!$D$17,0)</f>
        <v>0</v>
      </c>
      <c r="I17" s="170">
        <f>IF(CostoBruto!I17&gt;0,CostoBruto!I17+fijosXprenda!$D$17,0)</f>
        <v>0</v>
      </c>
      <c r="J17" s="170">
        <f>IF(CostoBruto!J17&gt;0,CostoBruto!J17+fijosXprenda!$D$17,0)</f>
        <v>0</v>
      </c>
      <c r="K17" s="170">
        <f>IF(CostoBruto!K17&gt;0,CostoBruto!K17+fijosXprenda!$D$17,0)</f>
        <v>0</v>
      </c>
      <c r="L17" s="170">
        <f>IF(CostoBruto!L17&gt;0,CostoBruto!L17+fijosXprenda!$D$17,0)</f>
        <v>0</v>
      </c>
      <c r="M17" s="170">
        <f>IF(CostoBruto!M17&gt;0,CostoBruto!M17+fijosXprenda!$D$17,0)</f>
        <v>0</v>
      </c>
      <c r="N17" s="170">
        <f>IF(CostoBruto!N17&gt;0,CostoBruto!N17+fijosXprenda!$D$17,0)</f>
        <v>0</v>
      </c>
      <c r="O17" s="170">
        <f>IF(CostoBruto!O17&gt;0,CostoBruto!O17+fijosXprenda!$D$17,0)</f>
        <v>0</v>
      </c>
      <c r="P17" s="170">
        <f>IF(CostoBruto!P17&gt;0,CostoBruto!P17+fijosXprenda!$D$17,0)</f>
        <v>0</v>
      </c>
      <c r="Q17" s="170">
        <f>IF(CostoBruto!Q17&gt;0,CostoBruto!Q17+fijosXprenda!$D$17,0)</f>
        <v>0</v>
      </c>
    </row>
    <row r="18" spans="1:17" ht="20.25" customHeight="1" thickBot="1" x14ac:dyDescent="0.3">
      <c r="A18" s="162">
        <v>16</v>
      </c>
      <c r="B18" s="158" t="s">
        <v>12</v>
      </c>
      <c r="C18" s="170">
        <f>IF(CostoBruto!C18&gt;0,CostoBruto!C18+fijosXprenda!$D$18,0)</f>
        <v>68.556078431372555</v>
      </c>
      <c r="D18" s="170">
        <f>IF(CostoBruto!D18&gt;0,CostoBruto!D18+fijosXprenda!$D$18,0)</f>
        <v>70.250196078431387</v>
      </c>
      <c r="E18" s="170">
        <f>IF(CostoBruto!E18&gt;0,CostoBruto!E18+fijosXprenda!$D$18,0)</f>
        <v>71.944313725490204</v>
      </c>
      <c r="F18" s="170">
        <f>IF(CostoBruto!F18&gt;0,CostoBruto!F18+fijosXprenda!$D$18,0)</f>
        <v>73.638431372549022</v>
      </c>
      <c r="G18" s="170">
        <f>IF(CostoBruto!G18&gt;0,CostoBruto!G18+fijosXprenda!$D$18,0)</f>
        <v>75.332549019607853</v>
      </c>
      <c r="H18" s="170">
        <f>IF(CostoBruto!H18&gt;0,CostoBruto!H18+fijosXprenda!$D$18,0)</f>
        <v>77.026666666666685</v>
      </c>
      <c r="I18" s="170">
        <f>IF(CostoBruto!I18&gt;0,CostoBruto!I18+fijosXprenda!$D$18,0)</f>
        <v>78.932549019607862</v>
      </c>
      <c r="J18" s="170">
        <f>IF(CostoBruto!J18&gt;0,CostoBruto!J18+fijosXprenda!$D$18,0)</f>
        <v>80.626666666666679</v>
      </c>
      <c r="K18" s="170">
        <f>IF(CostoBruto!K18&gt;0,CostoBruto!K18+fijosXprenda!$D$18,0)</f>
        <v>0</v>
      </c>
      <c r="L18" s="170">
        <f>IF(CostoBruto!L18&gt;0,CostoBruto!L18+fijosXprenda!$D$18,0)</f>
        <v>82.320784313725497</v>
      </c>
      <c r="M18" s="170">
        <f>IF(CostoBruto!M18&gt;0,CostoBruto!M18+fijosXprenda!$D$18,0)</f>
        <v>84.014901960784329</v>
      </c>
      <c r="N18" s="170">
        <f>IF(CostoBruto!N18&gt;0,CostoBruto!N18+fijosXprenda!$D$18,0)</f>
        <v>85.70901960784316</v>
      </c>
      <c r="O18" s="170">
        <f>IF(CostoBruto!O18&gt;0,CostoBruto!O18+fijosXprenda!$D$18,0)</f>
        <v>87.403137254901978</v>
      </c>
      <c r="P18" s="170">
        <f>IF(CostoBruto!P18&gt;0,CostoBruto!P18+fijosXprenda!$D$18,0)</f>
        <v>89.097254901960795</v>
      </c>
      <c r="Q18" s="170">
        <f>IF(CostoBruto!Q18&gt;0,CostoBruto!Q18+fijosXprenda!$D$18,0)</f>
        <v>90.791372549019613</v>
      </c>
    </row>
    <row r="19" spans="1:17" ht="20.25" customHeight="1" thickBot="1" x14ac:dyDescent="0.3">
      <c r="A19" s="163">
        <v>17</v>
      </c>
      <c r="B19" s="160" t="s">
        <v>13</v>
      </c>
      <c r="C19" s="170">
        <f>IF(CostoBruto!C19&gt;0,CostoBruto!C19+fijosXprenda!$D$19,0)</f>
        <v>54.534117647058835</v>
      </c>
      <c r="D19" s="170">
        <f>IF(CostoBruto!D19&gt;0,CostoBruto!D19+fijosXprenda!$D$19,0)</f>
        <v>57.075294117647069</v>
      </c>
      <c r="E19" s="170">
        <f>IF(CostoBruto!E19&gt;0,CostoBruto!E19+fijosXprenda!$D$19,0)</f>
        <v>59.616470588235302</v>
      </c>
      <c r="F19" s="170">
        <f>IF(CostoBruto!F19&gt;0,CostoBruto!F19+fijosXprenda!$D$19,0)</f>
        <v>62.157647058823535</v>
      </c>
      <c r="G19" s="170">
        <f>IF(CostoBruto!G19&gt;0,CostoBruto!G19+fijosXprenda!$D$19,0)</f>
        <v>64.698823529411769</v>
      </c>
      <c r="H19" s="170">
        <f>IF(CostoBruto!H19&gt;0,CostoBruto!H19+fijosXprenda!$D$19,0)</f>
        <v>67.240000000000009</v>
      </c>
      <c r="I19" s="170">
        <f>IF(CostoBruto!I19&gt;0,CostoBruto!I19+fijosXprenda!$D$19,0)</f>
        <v>0</v>
      </c>
      <c r="J19" s="170">
        <f>IF(CostoBruto!J19&gt;0,CostoBruto!J19+fijosXprenda!$D$19,0)</f>
        <v>0</v>
      </c>
      <c r="K19" s="170">
        <f>IF(CostoBruto!K19&gt;0,CostoBruto!K19+fijosXprenda!$D$19,0)</f>
        <v>0</v>
      </c>
      <c r="L19" s="170">
        <f>IF(CostoBruto!L19&gt;0,CostoBruto!L19+fijosXprenda!$D$19,0)</f>
        <v>0</v>
      </c>
      <c r="M19" s="170">
        <f>IF(CostoBruto!M19&gt;0,CostoBruto!M19+fijosXprenda!$D$19,0)</f>
        <v>0</v>
      </c>
      <c r="N19" s="170">
        <f>IF(CostoBruto!N19&gt;0,CostoBruto!N19+fijosXprenda!$D$19,0)</f>
        <v>0</v>
      </c>
      <c r="O19" s="170">
        <f>IF(CostoBruto!O19&gt;0,CostoBruto!O19+fijosXprenda!$D$19,0)</f>
        <v>0</v>
      </c>
      <c r="P19" s="170">
        <f>IF(CostoBruto!P19&gt;0,CostoBruto!P19+fijosXprenda!$D$19,0)</f>
        <v>0</v>
      </c>
      <c r="Q19" s="170">
        <f>IF(CostoBruto!Q19&gt;0,CostoBruto!Q19+fijosXprenda!$D$19,0)</f>
        <v>0</v>
      </c>
    </row>
    <row r="20" spans="1:17" ht="20.25" customHeight="1" thickBot="1" x14ac:dyDescent="0.3">
      <c r="A20" s="162">
        <v>18</v>
      </c>
      <c r="B20" s="158" t="s">
        <v>14</v>
      </c>
      <c r="C20" s="170">
        <f>IF(CostoBruto!C20&gt;0,CostoBruto!C20+fijosXprenda!$D$20,0)</f>
        <v>66.310588235294119</v>
      </c>
      <c r="D20" s="170">
        <f>IF(CostoBruto!D20&gt;0,CostoBruto!D20+fijosXprenda!$D$20,0)</f>
        <v>70.334117647058832</v>
      </c>
      <c r="E20" s="170">
        <f>IF(CostoBruto!E20&gt;0,CostoBruto!E20+fijosXprenda!$D$20,0)</f>
        <v>74.357647058823545</v>
      </c>
      <c r="F20" s="170">
        <f>IF(CostoBruto!F20&gt;0,CostoBruto!F20+fijosXprenda!$D$20,0)</f>
        <v>78.381176470588244</v>
      </c>
      <c r="G20" s="170">
        <f>IF(CostoBruto!G20&gt;0,CostoBruto!G20+fijosXprenda!$D$20,0)</f>
        <v>82.404705882352957</v>
      </c>
      <c r="H20" s="170">
        <f>IF(CostoBruto!H20&gt;0,CostoBruto!H20+fijosXprenda!$D$20,0)</f>
        <v>86.428235294117655</v>
      </c>
      <c r="I20" s="170">
        <f>IF(CostoBruto!I20&gt;0,CostoBruto!I20+fijosXprenda!$D$20,0)</f>
        <v>0</v>
      </c>
      <c r="J20" s="170">
        <f>IF(CostoBruto!J20&gt;0,CostoBruto!J20+fijosXprenda!$D$20,0)</f>
        <v>0</v>
      </c>
      <c r="K20" s="170">
        <f>IF(CostoBruto!K20&gt;0,CostoBruto!K20+fijosXprenda!$D$20,0)</f>
        <v>0</v>
      </c>
      <c r="L20" s="170">
        <f>IF(CostoBruto!L20&gt;0,CostoBruto!L20+fijosXprenda!$D$20,0)</f>
        <v>0</v>
      </c>
      <c r="M20" s="170">
        <f>IF(CostoBruto!M20&gt;0,CostoBruto!M20+fijosXprenda!$D$20,0)</f>
        <v>0</v>
      </c>
      <c r="N20" s="170">
        <f>IF(CostoBruto!N20&gt;0,CostoBruto!N20+fijosXprenda!$D$20,0)</f>
        <v>0</v>
      </c>
      <c r="O20" s="170">
        <f>IF(CostoBruto!O20&gt;0,CostoBruto!O20+fijosXprenda!$D$20,0)</f>
        <v>0</v>
      </c>
      <c r="P20" s="170">
        <f>IF(CostoBruto!P20&gt;0,CostoBruto!P20+fijosXprenda!$D$20,0)</f>
        <v>0</v>
      </c>
      <c r="Q20" s="170">
        <f>IF(CostoBruto!Q20&gt;0,CostoBruto!Q20+fijosXprenda!$D$20,0)</f>
        <v>0</v>
      </c>
    </row>
    <row r="21" spans="1:17" ht="20.25" customHeight="1" thickBot="1" x14ac:dyDescent="0.3">
      <c r="A21" s="163">
        <v>19</v>
      </c>
      <c r="B21" s="160" t="s">
        <v>132</v>
      </c>
      <c r="C21" s="170">
        <f>IF(CostoBruto!C21&gt;0,CostoBruto!C21+fijosXprenda!$D$21,0)</f>
        <v>59.033333333333331</v>
      </c>
      <c r="D21" s="170">
        <f>IF(CostoBruto!D21&gt;0,CostoBruto!D21+fijosXprenda!$D$21,0)</f>
        <v>59.033333333333331</v>
      </c>
      <c r="E21" s="170">
        <f>IF(CostoBruto!E21&gt;0,CostoBruto!E21+fijosXprenda!$D$21,0)</f>
        <v>64.033333333333331</v>
      </c>
      <c r="F21" s="170">
        <f>IF(CostoBruto!F21&gt;0,CostoBruto!F21+fijosXprenda!$D$21,0)</f>
        <v>69.033333333333331</v>
      </c>
      <c r="G21" s="170">
        <f>IF(CostoBruto!G21&gt;0,CostoBruto!G21+fijosXprenda!$D$21,0)</f>
        <v>74.033333333333331</v>
      </c>
      <c r="H21" s="170">
        <f>IF(CostoBruto!H21&gt;0,CostoBruto!H21+fijosXprenda!$D$21,0)</f>
        <v>79.033333333333331</v>
      </c>
      <c r="I21" s="170">
        <f>IF(CostoBruto!I21&gt;0,CostoBruto!I21+fijosXprenda!$D$21,0)</f>
        <v>84.033333333333331</v>
      </c>
      <c r="J21" s="170">
        <f>IF(CostoBruto!J21&gt;0,CostoBruto!J21+fijosXprenda!$D$21,0)</f>
        <v>89.033333333333331</v>
      </c>
      <c r="K21" s="170">
        <f>IF(CostoBruto!K21&gt;0,CostoBruto!K21+fijosXprenda!$D$21,0)</f>
        <v>0</v>
      </c>
      <c r="L21" s="170">
        <f>IF(CostoBruto!L21&gt;0,CostoBruto!L21+fijosXprenda!$D$21,0)</f>
        <v>99.033333333333331</v>
      </c>
      <c r="M21" s="170">
        <f>IF(CostoBruto!M21&gt;0,CostoBruto!M21+fijosXprenda!$D$21,0)</f>
        <v>109.03333333333333</v>
      </c>
      <c r="N21" s="170">
        <f>IF(CostoBruto!N21&gt;0,CostoBruto!N21+fijosXprenda!$D$21,0)</f>
        <v>119.03333333333333</v>
      </c>
      <c r="O21" s="170">
        <f>IF(CostoBruto!O21&gt;0,CostoBruto!O21+fijosXprenda!$D$21,0)</f>
        <v>129.03333333333333</v>
      </c>
      <c r="P21" s="170">
        <f>IF(CostoBruto!P21&gt;0,CostoBruto!P21+fijosXprenda!$D$21,0)</f>
        <v>139.03333333333333</v>
      </c>
      <c r="Q21" s="170">
        <f>IF(CostoBruto!Q21&gt;0,CostoBruto!Q21+fijosXprenda!$D$21,0)</f>
        <v>149.03333333333333</v>
      </c>
    </row>
    <row r="22" spans="1:17" ht="20.25" customHeight="1" thickBot="1" x14ac:dyDescent="0.3">
      <c r="A22" s="162">
        <v>20</v>
      </c>
      <c r="B22" s="158" t="s">
        <v>131</v>
      </c>
      <c r="C22" s="170">
        <f>IF(CostoBruto!C22&gt;0,CostoBruto!C22+fijosXprenda!$D$22,0)</f>
        <v>54.033333333333331</v>
      </c>
      <c r="D22" s="170">
        <f>IF(CostoBruto!D22&gt;0,CostoBruto!D22+fijosXprenda!$D$22,0)</f>
        <v>54.033333333333331</v>
      </c>
      <c r="E22" s="170">
        <f>IF(CostoBruto!E22&gt;0,CostoBruto!E22+fijosXprenda!$D$22,0)</f>
        <v>59.033333333333331</v>
      </c>
      <c r="F22" s="170">
        <f>IF(CostoBruto!F22&gt;0,CostoBruto!F22+fijosXprenda!$D$22,0)</f>
        <v>64.033333333333331</v>
      </c>
      <c r="G22" s="170">
        <f>IF(CostoBruto!G22&gt;0,CostoBruto!G22+fijosXprenda!$D$22,0)</f>
        <v>69.033333333333331</v>
      </c>
      <c r="H22" s="170">
        <f>IF(CostoBruto!H22&gt;0,CostoBruto!H22+fijosXprenda!$D$22,0)</f>
        <v>74.033333333333331</v>
      </c>
      <c r="I22" s="170">
        <f>IF(CostoBruto!I22&gt;0,CostoBruto!I22+fijosXprenda!$D$22,0)</f>
        <v>79.033333333333331</v>
      </c>
      <c r="J22" s="170">
        <f>IF(CostoBruto!J22&gt;0,CostoBruto!J22+fijosXprenda!$D$22,0)</f>
        <v>84.033333333333331</v>
      </c>
      <c r="K22" s="170">
        <f>IF(CostoBruto!K22&gt;0,CostoBruto!K22+fijosXprenda!$D$22,0)</f>
        <v>0</v>
      </c>
      <c r="L22" s="170">
        <f>IF(CostoBruto!L22&gt;0,CostoBruto!L22+fijosXprenda!$D$22,0)</f>
        <v>94.033333333333331</v>
      </c>
      <c r="M22" s="170">
        <f>IF(CostoBruto!M22&gt;0,CostoBruto!M22+fijosXprenda!$D$22,0)</f>
        <v>104.03333333333333</v>
      </c>
      <c r="N22" s="170">
        <f>IF(CostoBruto!N22&gt;0,CostoBruto!N22+fijosXprenda!$D$22,0)</f>
        <v>114.03333333333333</v>
      </c>
      <c r="O22" s="170">
        <f>IF(CostoBruto!O22&gt;0,CostoBruto!O22+fijosXprenda!$D$22,0)</f>
        <v>124.03333333333333</v>
      </c>
      <c r="P22" s="170">
        <f>IF(CostoBruto!P22&gt;0,CostoBruto!P22+fijosXprenda!$D$22,0)</f>
        <v>134.03333333333333</v>
      </c>
      <c r="Q22" s="170">
        <f>IF(CostoBruto!Q22&gt;0,CostoBruto!Q22+fijosXprenda!$D$22,0)</f>
        <v>144.03333333333333</v>
      </c>
    </row>
    <row r="23" spans="1:17" ht="20.25" customHeight="1" thickBot="1" x14ac:dyDescent="0.3">
      <c r="A23" s="163">
        <v>21</v>
      </c>
      <c r="B23" s="160" t="s">
        <v>129</v>
      </c>
      <c r="C23" s="170">
        <f>IF(CostoBruto!C23&gt;0,CostoBruto!C23+fijosXprenda!$D$23,0)</f>
        <v>124.46804597701149</v>
      </c>
      <c r="D23" s="170">
        <f>IF(CostoBruto!D23&gt;0,CostoBruto!D23+fijosXprenda!$D$23,0)</f>
        <v>126.37977011494253</v>
      </c>
      <c r="E23" s="170">
        <f>IF(CostoBruto!E23&gt;0,CostoBruto!E23+fijosXprenda!$D$23,0)</f>
        <v>128.29149425287358</v>
      </c>
      <c r="F23" s="170">
        <f>IF(CostoBruto!F23&gt;0,CostoBruto!F23+fijosXprenda!$D$23,0)</f>
        <v>130.20321839080461</v>
      </c>
      <c r="G23" s="170">
        <f>IF(CostoBruto!G23&gt;0,CostoBruto!G23+fijosXprenda!$D$23,0)</f>
        <v>132.11494252873564</v>
      </c>
      <c r="H23" s="170">
        <f>IF(CostoBruto!H23&gt;0,CostoBruto!H23+fijosXprenda!$D$23,0)</f>
        <v>139.02666666666667</v>
      </c>
      <c r="I23" s="170">
        <f>IF(CostoBruto!I23&gt;0,CostoBruto!I23+fijosXprenda!$D$23,0)</f>
        <v>140.9383908045977</v>
      </c>
      <c r="J23" s="170">
        <f>IF(CostoBruto!J23&gt;0,CostoBruto!J23+fijosXprenda!$D$23,0)</f>
        <v>142.85011494252873</v>
      </c>
      <c r="K23" s="170">
        <f>IF(CostoBruto!K23&gt;0,CostoBruto!K23+fijosXprenda!$D$23,0)</f>
        <v>0</v>
      </c>
      <c r="L23" s="170">
        <f>IF(CostoBruto!L23&gt;0,CostoBruto!L23+fijosXprenda!$D$23,0)</f>
        <v>144.41425287356324</v>
      </c>
      <c r="M23" s="170">
        <f>IF(CostoBruto!M23&gt;0,CostoBruto!M23+fijosXprenda!$D$23,0)</f>
        <v>150.97839080459772</v>
      </c>
      <c r="N23" s="170">
        <f>IF(CostoBruto!N23&gt;0,CostoBruto!N23+fijosXprenda!$D$23,0)</f>
        <v>152.89011494252875</v>
      </c>
      <c r="O23" s="170">
        <f>IF(CostoBruto!O23&gt;0,CostoBruto!O23+fijosXprenda!$D$23,0)</f>
        <v>154.28045977011496</v>
      </c>
      <c r="P23" s="170">
        <f>IF(CostoBruto!P23&gt;0,CostoBruto!P23+fijosXprenda!$D$23,0)</f>
        <v>155.84459770114944</v>
      </c>
      <c r="Q23" s="170">
        <f>IF(CostoBruto!Q23&gt;0,CostoBruto!Q23+fijosXprenda!$D$23,0)</f>
        <v>157.5825287356322</v>
      </c>
    </row>
    <row r="24" spans="1:17" ht="20.25" customHeight="1" thickBot="1" x14ac:dyDescent="0.3">
      <c r="A24" s="163">
        <v>22</v>
      </c>
      <c r="B24" s="160" t="s">
        <v>172</v>
      </c>
      <c r="C24" s="170">
        <f>IF(CostoBruto!C24&gt;0,CostoBruto!C24+fijosXprenda!$D$24,0)</f>
        <v>124.70671264367816</v>
      </c>
      <c r="D24" s="170">
        <f>IF(CostoBruto!D24&gt;0,CostoBruto!D24+fijosXprenda!$D$24,0)</f>
        <v>126.6184367816092</v>
      </c>
      <c r="E24" s="170">
        <f>IF(CostoBruto!E24&gt;0,CostoBruto!E24+fijosXprenda!$D$24,0)</f>
        <v>128.53016091954024</v>
      </c>
      <c r="F24" s="170">
        <f>IF(CostoBruto!F24&gt;0,CostoBruto!F24+fijosXprenda!$D$24,0)</f>
        <v>130.44188505747127</v>
      </c>
      <c r="G24" s="170">
        <f>IF(CostoBruto!G24&gt;0,CostoBruto!G24+fijosXprenda!$D$24,0)</f>
        <v>132.3536091954023</v>
      </c>
      <c r="H24" s="170">
        <f>IF(CostoBruto!H24&gt;0,CostoBruto!H24+fijosXprenda!$D$24,0)</f>
        <v>139.26533333333333</v>
      </c>
      <c r="I24" s="170">
        <f>IF(CostoBruto!I24&gt;0,CostoBruto!I24+fijosXprenda!$D$24,0)</f>
        <v>141.17705747126436</v>
      </c>
      <c r="J24" s="170">
        <f>IF(CostoBruto!J24&gt;0,CostoBruto!J24+fijosXprenda!$D$24,0)</f>
        <v>143.08878160919539</v>
      </c>
      <c r="K24" s="170">
        <f>IF(CostoBruto!K24&gt;0,CostoBruto!K24+fijosXprenda!$D$24,0)</f>
        <v>0</v>
      </c>
      <c r="L24" s="170">
        <f>IF(CostoBruto!L24&gt;0,CostoBruto!L24+fijosXprenda!$D$24,0)</f>
        <v>144.6529195402299</v>
      </c>
      <c r="M24" s="170">
        <f>IF(CostoBruto!M24&gt;0,CostoBruto!M24+fijosXprenda!$D$24,0)</f>
        <v>151.21705747126438</v>
      </c>
      <c r="N24" s="170">
        <f>IF(CostoBruto!N24&gt;0,CostoBruto!N24+fijosXprenda!$D$24,0)</f>
        <v>153.12878160919541</v>
      </c>
      <c r="O24" s="170">
        <f>IF(CostoBruto!O24&gt;0,CostoBruto!O24+fijosXprenda!$D$24,0)</f>
        <v>154.51912643678162</v>
      </c>
      <c r="P24" s="170">
        <f>IF(CostoBruto!P24&gt;0,CostoBruto!P24+fijosXprenda!$D$24,0)</f>
        <v>156.0832643678161</v>
      </c>
      <c r="Q24" s="170">
        <f>IF(CostoBruto!Q24&gt;0,CostoBruto!Q24+fijosXprenda!$D$24,0)</f>
        <v>157.82119540229886</v>
      </c>
    </row>
    <row r="25" spans="1:17" ht="20.25" customHeight="1" thickBot="1" x14ac:dyDescent="0.3">
      <c r="A25" s="162">
        <v>23</v>
      </c>
      <c r="B25" s="158" t="s">
        <v>128</v>
      </c>
      <c r="C25" s="170">
        <f>IF(CostoBruto!C25&gt;0,CostoBruto!C25+fijosXprenda!$D$25,0)</f>
        <v>132.15685057471265</v>
      </c>
      <c r="D25" s="170">
        <f>IF(CostoBruto!D25&gt;0,CostoBruto!D25+fijosXprenda!$D$25,0)</f>
        <v>134.25974712643679</v>
      </c>
      <c r="E25" s="170">
        <f>IF(CostoBruto!E25&gt;0,CostoBruto!E25+fijosXprenda!$D$25,0)</f>
        <v>136.36264367816094</v>
      </c>
      <c r="F25" s="170">
        <f>IF(CostoBruto!F25&gt;0,CostoBruto!F25+fijosXprenda!$D$25,0)</f>
        <v>138.46554022988508</v>
      </c>
      <c r="G25" s="170">
        <f>IF(CostoBruto!G25&gt;0,CostoBruto!G25+fijosXprenda!$D$25,0)</f>
        <v>140.56843678160919</v>
      </c>
      <c r="H25" s="170">
        <f>IF(CostoBruto!H25&gt;0,CostoBruto!H25+fijosXprenda!$D$25,0)</f>
        <v>147.67133333333334</v>
      </c>
      <c r="I25" s="170">
        <f>IF(CostoBruto!I25&gt;0,CostoBruto!I25+fijosXprenda!$D$25,0)</f>
        <v>149.77422988505748</v>
      </c>
      <c r="J25" s="170">
        <f>IF(CostoBruto!J25&gt;0,CostoBruto!J25+fijosXprenda!$D$25,0)</f>
        <v>151.87712643678162</v>
      </c>
      <c r="K25" s="170">
        <f>IF(CostoBruto!K25&gt;0,CostoBruto!K25+fijosXprenda!$D$25,0)</f>
        <v>0</v>
      </c>
      <c r="L25" s="170">
        <f>IF(CostoBruto!L25&gt;0,CostoBruto!L25+fijosXprenda!$D$25,0)</f>
        <v>153.59767816091954</v>
      </c>
      <c r="M25" s="170">
        <f>IF(CostoBruto!M25&gt;0,CostoBruto!M25+fijosXprenda!$D$25,0)</f>
        <v>160.31822988505749</v>
      </c>
      <c r="N25" s="170">
        <f>IF(CostoBruto!N25&gt;0,CostoBruto!N25+fijosXprenda!$D$25,0)</f>
        <v>162.42112643678163</v>
      </c>
      <c r="O25" s="170">
        <f>IF(CostoBruto!O25&gt;0,CostoBruto!O25+fijosXprenda!$D$25,0)</f>
        <v>163.95050574712644</v>
      </c>
      <c r="P25" s="170">
        <f>IF(CostoBruto!P25&gt;0,CostoBruto!P25+fijosXprenda!$D$25,0)</f>
        <v>165.67105747126439</v>
      </c>
      <c r="Q25" s="170">
        <f>IF(CostoBruto!Q25&gt;0,CostoBruto!Q25+fijosXprenda!$D$25,0)</f>
        <v>167.58278160919542</v>
      </c>
    </row>
    <row r="26" spans="1:17" ht="20.25" customHeight="1" thickBot="1" x14ac:dyDescent="0.3">
      <c r="A26" s="163">
        <v>24</v>
      </c>
      <c r="B26" s="160" t="s">
        <v>130</v>
      </c>
      <c r="C26" s="170">
        <f>IF(CostoBruto!C26&gt;0,CostoBruto!C26+fijosXprenda!$D$26,0)</f>
        <v>69.355540229885065</v>
      </c>
      <c r="D26" s="170">
        <f>IF(CostoBruto!D26&gt;0,CostoBruto!D26+fijosXprenda!$D$26,0)</f>
        <v>73.178988505747142</v>
      </c>
      <c r="E26" s="170">
        <f>IF(CostoBruto!E26&gt;0,CostoBruto!E26+fijosXprenda!$D$26,0)</f>
        <v>77.002436781609205</v>
      </c>
      <c r="F26" s="170">
        <f>IF(CostoBruto!F26&gt;0,CostoBruto!F26+fijosXprenda!$D$26,0)</f>
        <v>80.825885057471268</v>
      </c>
      <c r="G26" s="170">
        <f>IF(CostoBruto!G26&gt;0,CostoBruto!G26+fijosXprenda!$D$26,0)</f>
        <v>84.649333333333345</v>
      </c>
      <c r="H26" s="170">
        <f>IF(CostoBruto!H26&gt;0,CostoBruto!H26+fijosXprenda!$D$26,0)</f>
        <v>90.472781609195408</v>
      </c>
      <c r="I26" s="170">
        <f>IF(CostoBruto!I26&gt;0,CostoBruto!I26+fijosXprenda!$D$26,0)</f>
        <v>94.643816091954022</v>
      </c>
      <c r="J26" s="170">
        <f>IF(CostoBruto!J26&gt;0,CostoBruto!J26+fijosXprenda!$D$26,0)</f>
        <v>98.988643678160926</v>
      </c>
      <c r="K26" s="170">
        <f>IF(CostoBruto!K26&gt;0,CostoBruto!K26+fijosXprenda!$D$26,0)</f>
        <v>0</v>
      </c>
      <c r="L26" s="170">
        <f>IF(CostoBruto!L26&gt;0,CostoBruto!L26+fijosXprenda!$D$26,0)</f>
        <v>102.29071264367818</v>
      </c>
      <c r="M26" s="170">
        <f>IF(CostoBruto!M26&gt;0,CostoBruto!M26+fijosXprenda!$D$26,0)</f>
        <v>106.55002298850576</v>
      </c>
      <c r="N26" s="170">
        <f>IF(CostoBruto!N26&gt;0,CostoBruto!N26+fijosXprenda!$D$26,0)</f>
        <v>108.80933333333334</v>
      </c>
      <c r="O26" s="170">
        <f>IF(CostoBruto!O26&gt;0,CostoBruto!O26+fijosXprenda!$D$26,0)</f>
        <v>111.06864367816092</v>
      </c>
      <c r="P26" s="170">
        <f>IF(CostoBruto!P26&gt;0,CostoBruto!P26+fijosXprenda!$D$26,0)</f>
        <v>114.02312643678162</v>
      </c>
      <c r="Q26" s="170">
        <f>IF(CostoBruto!Q26&gt;0,CostoBruto!Q26+fijosXprenda!$D$26,0)</f>
        <v>116.63002298850576</v>
      </c>
    </row>
    <row r="27" spans="1:17" ht="20.25" customHeight="1" thickBot="1" x14ac:dyDescent="0.3">
      <c r="A27" s="162">
        <v>25</v>
      </c>
      <c r="B27" s="158" t="s">
        <v>136</v>
      </c>
      <c r="C27" s="170">
        <f>IF(CostoBruto!C27&gt;0,CostoBruto!C27+fijosXprenda!$D$27,0)</f>
        <v>28.556013333333336</v>
      </c>
      <c r="D27" s="170">
        <f>IF(CostoBruto!D27&gt;0,CostoBruto!D27+fijosXprenda!$D$27,0)</f>
        <v>29.289333333333335</v>
      </c>
      <c r="E27" s="170">
        <f>IF(CostoBruto!E27&gt;0,CostoBruto!E27+fijosXprenda!$D$27,0)</f>
        <v>30.022653333333334</v>
      </c>
      <c r="F27" s="170">
        <f>IF(CostoBruto!F27&gt;0,CostoBruto!F27+fijosXprenda!$D$27,0)</f>
        <v>31.698813333333334</v>
      </c>
      <c r="G27" s="170">
        <f>IF(CostoBruto!G27&gt;0,CostoBruto!G27+fijosXprenda!$D$27,0)</f>
        <v>33.374973333333337</v>
      </c>
      <c r="H27" s="170">
        <f>IF(CostoBruto!H27&gt;0,CostoBruto!H27+fijosXprenda!$D$27,0)</f>
        <v>33.898773333333338</v>
      </c>
      <c r="I27" s="170">
        <f>IF(CostoBruto!I27&gt;0,CostoBruto!I27+fijosXprenda!$D$27,0)</f>
        <v>34.422573333333332</v>
      </c>
      <c r="J27" s="170">
        <f>IF(CostoBruto!J27&gt;0,CostoBruto!J27+fijosXprenda!$D$27,0)</f>
        <v>35.155893333333339</v>
      </c>
      <c r="K27" s="170">
        <f>IF(CostoBruto!K27&gt;0,CostoBruto!K27+fijosXprenda!$D$27,0)</f>
        <v>0</v>
      </c>
      <c r="L27" s="170">
        <f>IF(CostoBruto!L27&gt;0,CostoBruto!L27+fijosXprenda!$D$27,0)</f>
        <v>0</v>
      </c>
      <c r="M27" s="170">
        <f>IF(CostoBruto!M27&gt;0,CostoBruto!M27+fijosXprenda!$D$27,0)</f>
        <v>0</v>
      </c>
      <c r="N27" s="170">
        <f>IF(CostoBruto!N27&gt;0,CostoBruto!N27+fijosXprenda!$D$27,0)</f>
        <v>0</v>
      </c>
      <c r="O27" s="170">
        <f>IF(CostoBruto!O27&gt;0,CostoBruto!O27+fijosXprenda!$D$27,0)</f>
        <v>0</v>
      </c>
      <c r="P27" s="170">
        <f>IF(CostoBruto!P27&gt;0,CostoBruto!P27+fijosXprenda!$D$27,0)</f>
        <v>0</v>
      </c>
      <c r="Q27" s="170">
        <f>IF(CostoBruto!Q27&gt;0,CostoBruto!Q27+fijosXprenda!$D$27,0)</f>
        <v>0</v>
      </c>
    </row>
    <row r="28" spans="1:17" ht="20.25" customHeight="1" thickBot="1" x14ac:dyDescent="0.3">
      <c r="A28" s="163">
        <v>26</v>
      </c>
      <c r="B28" s="160" t="s">
        <v>137</v>
      </c>
      <c r="C28" s="170">
        <f>IF(CostoBruto!C28&gt;0,CostoBruto!C28+fijosXprenda!$D$28,0)</f>
        <v>31.384533333333337</v>
      </c>
      <c r="D28" s="170">
        <f>IF(CostoBruto!D28&gt;0,CostoBruto!D28+fijosXprenda!$D$28,0)</f>
        <v>0</v>
      </c>
      <c r="E28" s="170">
        <f>IF(CostoBruto!E28&gt;0,CostoBruto!E28+fijosXprenda!$D$28,0)</f>
        <v>0</v>
      </c>
      <c r="F28" s="170">
        <f>IF(CostoBruto!F28&gt;0,CostoBruto!F28+fijosXprenda!$D$28,0)</f>
        <v>0</v>
      </c>
      <c r="G28" s="170">
        <f>IF(CostoBruto!G28&gt;0,CostoBruto!G28+fijosXprenda!$D$28,0)</f>
        <v>0</v>
      </c>
      <c r="H28" s="170">
        <f>IF(CostoBruto!H28&gt;0,CostoBruto!H28+fijosXprenda!$D$28,0)</f>
        <v>0</v>
      </c>
      <c r="I28" s="170">
        <f>IF(CostoBruto!I28&gt;0,CostoBruto!I28+fijosXprenda!$D$28,0)</f>
        <v>0</v>
      </c>
      <c r="J28" s="170">
        <f>IF(CostoBruto!J28&gt;0,CostoBruto!J28+fijosXprenda!$D$28,0)</f>
        <v>0</v>
      </c>
      <c r="K28" s="170">
        <f>IF(CostoBruto!K28&gt;0,CostoBruto!K28+fijosXprenda!$D$28,0)</f>
        <v>0</v>
      </c>
      <c r="L28" s="170">
        <f>IF(CostoBruto!L28&gt;0,CostoBruto!L28+fijosXprenda!$D$28,0)</f>
        <v>0</v>
      </c>
      <c r="M28" s="170">
        <f>IF(CostoBruto!M28&gt;0,CostoBruto!M28+fijosXprenda!$D$28,0)</f>
        <v>0</v>
      </c>
      <c r="N28" s="170">
        <f>IF(CostoBruto!N28&gt;0,CostoBruto!N28+fijosXprenda!$D$28,0)</f>
        <v>0</v>
      </c>
      <c r="O28" s="170">
        <f>IF(CostoBruto!O28&gt;0,CostoBruto!O28+fijosXprenda!$D$28,0)</f>
        <v>0</v>
      </c>
      <c r="P28" s="170">
        <f>IF(CostoBruto!P28&gt;0,CostoBruto!P28+fijosXprenda!$D$28,0)</f>
        <v>0</v>
      </c>
      <c r="Q28" s="170">
        <f>IF(CostoBruto!Q28&gt;0,CostoBruto!Q28+fijosXprenda!$D$28,0)</f>
        <v>0</v>
      </c>
    </row>
    <row r="29" spans="1:17" ht="20.25" customHeight="1" thickBot="1" x14ac:dyDescent="0.3">
      <c r="A29" s="162">
        <v>27</v>
      </c>
      <c r="B29" s="158" t="s">
        <v>125</v>
      </c>
      <c r="C29" s="170">
        <f>IF(CostoBruto!C29&gt;0,CostoBruto!C29+fijosXprenda!$D$29,0)</f>
        <v>181.39735699238372</v>
      </c>
      <c r="D29" s="170">
        <f>IF(CostoBruto!D29&gt;0,CostoBruto!D29+fijosXprenda!$D$29,0)</f>
        <v>184.67883487279209</v>
      </c>
      <c r="E29" s="170">
        <f>IF(CostoBruto!E29&gt;0,CostoBruto!E29+fijosXprenda!$D$29,0)</f>
        <v>187.96031275320047</v>
      </c>
      <c r="F29" s="170">
        <f>IF(CostoBruto!F29&gt;0,CostoBruto!F29+fijosXprenda!$D$29,0)</f>
        <v>191.24179063360882</v>
      </c>
      <c r="G29" s="170">
        <f>IF(CostoBruto!G29&gt;0,CostoBruto!G29+fijosXprenda!$D$29,0)</f>
        <v>194.52326851401719</v>
      </c>
      <c r="H29" s="170">
        <f>IF(CostoBruto!H29&gt;0,CostoBruto!H29+fijosXprenda!$D$29,0)</f>
        <v>217.80474639442554</v>
      </c>
      <c r="I29" s="170">
        <f>IF(CostoBruto!I29&gt;0,CostoBruto!I29+fijosXprenda!$D$29,0)</f>
        <v>221.08622427483391</v>
      </c>
      <c r="J29" s="170">
        <f>IF(CostoBruto!J29&gt;0,CostoBruto!J29+fijosXprenda!$D$29,0)</f>
        <v>224.36770215524226</v>
      </c>
      <c r="K29" s="170">
        <f>IF(CostoBruto!K29&gt;0,CostoBruto!K29+fijosXprenda!$D$29,0)</f>
        <v>0</v>
      </c>
      <c r="L29" s="170">
        <f>IF(CostoBruto!L29&gt;0,CostoBruto!L29+fijosXprenda!$D$29,0)</f>
        <v>227.64918003565063</v>
      </c>
      <c r="M29" s="170">
        <f>IF(CostoBruto!M29&gt;0,CostoBruto!M29+fijosXprenda!$D$29,0)</f>
        <v>260.93065791605898</v>
      </c>
      <c r="N29" s="170">
        <f>IF(CostoBruto!N29&gt;0,CostoBruto!N29+fijosXprenda!$D$29,0)</f>
        <v>264.21213579646735</v>
      </c>
      <c r="O29" s="170">
        <f>IF(CostoBruto!O29&gt;0,CostoBruto!O29+fijosXprenda!$D$29,0)</f>
        <v>267.49361367687567</v>
      </c>
      <c r="P29" s="170">
        <f>IF(CostoBruto!P29&gt;0,CostoBruto!P29+fijosXprenda!$D$29,0)</f>
        <v>270.77509155728404</v>
      </c>
      <c r="Q29" s="170">
        <f>IF(CostoBruto!Q29&gt;0,CostoBruto!Q29+fijosXprenda!$D$29,0)</f>
        <v>274.05656943769242</v>
      </c>
    </row>
    <row r="30" spans="1:17" ht="20.25" customHeight="1" thickBot="1" x14ac:dyDescent="0.3">
      <c r="A30" s="159"/>
      <c r="B30" s="160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</row>
    <row r="31" spans="1:17" x14ac:dyDescent="0.25">
      <c r="B31" s="1" t="s">
        <v>159</v>
      </c>
      <c r="C31" s="164">
        <v>13</v>
      </c>
    </row>
  </sheetData>
  <conditionalFormatting sqref="C3:R3 C4:Q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3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C3DD-6329-4255-8E2B-E31FA02A5149}">
  <sheetPr codeName="Hoja16">
    <tabColor rgb="FFC00000"/>
    <pageSetUpPr fitToPage="1"/>
  </sheetPr>
  <dimension ref="A1:R31"/>
  <sheetViews>
    <sheetView topLeftCell="A7" zoomScale="80" zoomScaleNormal="80" workbookViewId="0">
      <selection activeCell="H26" sqref="H26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7" width="9.7109375" style="161" customWidth="1"/>
    <col min="18" max="16384" width="11.42578125" style="1"/>
  </cols>
  <sheetData>
    <row r="1" spans="1:18" ht="20.25" customHeight="1" thickBot="1" x14ac:dyDescent="0.3">
      <c r="A1" s="165" t="s">
        <v>163</v>
      </c>
      <c r="B1" s="165"/>
      <c r="D1" s="165"/>
      <c r="E1" s="165" t="s">
        <v>164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62">
        <v>1</v>
      </c>
      <c r="B3" s="158" t="s">
        <v>1</v>
      </c>
      <c r="C3" s="170">
        <f>IF(CostoAntesImp!C3&gt;0,CostoAntesImp!C3+(CostoAntesImp!C3*$C$31/100),0)</f>
        <v>0</v>
      </c>
      <c r="D3" s="170">
        <f>IF(CostoAntesImp!D3&gt;0,CostoAntesImp!D3+(CostoAntesImp!D3*$C$31/100),0)</f>
        <v>0</v>
      </c>
      <c r="E3" s="170">
        <f>IF(CostoAntesImp!E3&gt;0,CostoAntesImp!E3+(CostoAntesImp!E3*$C$31/100),0)</f>
        <v>0</v>
      </c>
      <c r="F3" s="170">
        <f>IF(CostoAntesImp!F3&gt;0,CostoAntesImp!F3+(CostoAntesImp!F3*$C$31/100),0)</f>
        <v>0</v>
      </c>
      <c r="G3" s="170">
        <f>IF(CostoAntesImp!G3&gt;0,CostoAntesImp!G3+(CostoAntesImp!G3*$C$31/100),0)</f>
        <v>0</v>
      </c>
      <c r="H3" s="170">
        <f>IF(CostoAntesImp!H3&gt;0,CostoAntesImp!H3+(CostoAntesImp!H3*$C$31/100),0)</f>
        <v>0</v>
      </c>
      <c r="I3" s="170">
        <f>IF(CostoAntesImp!I3&gt;0,CostoAntesImp!I3+(CostoAntesImp!I3*$C$31/100),0)</f>
        <v>0</v>
      </c>
      <c r="J3" s="170">
        <f>IF(CostoAntesImp!J3&gt;0,CostoAntesImp!J3+(CostoAntesImp!J3*$C$31/100),0)</f>
        <v>120.52423821138213</v>
      </c>
      <c r="K3" s="170">
        <f>IF(CostoAntesImp!K3&gt;0,CostoAntesImp!K3+(CostoAntesImp!K3*$C$31/100),0)</f>
        <v>123.30238455284554</v>
      </c>
      <c r="L3" s="170">
        <f>IF(CostoAntesImp!L3&gt;0,CostoAntesImp!L3+(CostoAntesImp!L3*$C$31/100),0)</f>
        <v>130.34145772357726</v>
      </c>
      <c r="M3" s="170">
        <f>IF(CostoAntesImp!M3&gt;0,CostoAntesImp!M3+(CostoAntesImp!M3*$C$31/100),0)</f>
        <v>132.42506747967482</v>
      </c>
      <c r="N3" s="170">
        <f>IF(CostoAntesImp!N3&gt;0,CostoAntesImp!N3+(CostoAntesImp!N3*$C$31/100),0)</f>
        <v>134.50867723577238</v>
      </c>
      <c r="O3" s="170">
        <f>IF(CostoAntesImp!O3&gt;0,CostoAntesImp!O3+(CostoAntesImp!O3*$C$31/100),0)</f>
        <v>135.89775040650406</v>
      </c>
      <c r="P3" s="170">
        <f>IF(CostoAntesImp!P3&gt;0,CostoAntesImp!P3+(CostoAntesImp!P3*$C$31/100),0)</f>
        <v>138.39808211382115</v>
      </c>
      <c r="Q3" s="170">
        <f>IF(CostoAntesImp!Q3&gt;0,CostoAntesImp!Q3+(CostoAntesImp!Q3*$C$31/100),0)</f>
        <v>139.92606260162603</v>
      </c>
      <c r="R3" s="170">
        <f>IF(CostoAntesImp!R3&gt;0,CostoAntesImp!R3+(CostoAntesImp!R3*$C$31/100),0)</f>
        <v>142.14857967479674</v>
      </c>
    </row>
    <row r="4" spans="1:18" ht="20.25" customHeight="1" thickBot="1" x14ac:dyDescent="0.3">
      <c r="A4" s="163">
        <v>2</v>
      </c>
      <c r="B4" s="160" t="s">
        <v>2</v>
      </c>
      <c r="C4" s="170">
        <f>IF(CostoAntesImp!C4&gt;0,CostoAntesImp!C4+(CostoAntesImp!C4*$C$31/100),0)</f>
        <v>62.452833333333331</v>
      </c>
      <c r="D4" s="170">
        <f>IF(CostoAntesImp!D4&gt;0,CostoAntesImp!D4+(CostoAntesImp!D4*$C$31/100),0)</f>
        <v>63.712833333333329</v>
      </c>
      <c r="E4" s="170">
        <f>IF(CostoAntesImp!E4&gt;0,CostoAntesImp!E4+(CostoAntesImp!E4*$C$31/100),0)</f>
        <v>64.972833333333327</v>
      </c>
      <c r="F4" s="170">
        <f>IF(CostoAntesImp!F4&gt;0,CostoAntesImp!F4+(CostoAntesImp!F4*$C$31/100),0)</f>
        <v>66.232833333333332</v>
      </c>
      <c r="G4" s="170">
        <f>IF(CostoAntesImp!G4&gt;0,CostoAntesImp!G4+(CostoAntesImp!G4*$C$31/100),0)</f>
        <v>67.492833333333337</v>
      </c>
      <c r="H4" s="170">
        <f>IF(CostoAntesImp!H4&gt;0,CostoAntesImp!H4+(CostoAntesImp!H4*$C$31/100),0)</f>
        <v>72.142833333333328</v>
      </c>
      <c r="I4" s="170">
        <f>IF(CostoAntesImp!I4&gt;0,CostoAntesImp!I4+(CostoAntesImp!I4*$C$31/100),0)</f>
        <v>73.402833333333334</v>
      </c>
      <c r="J4" s="170">
        <f>IF(CostoAntesImp!J4&gt;0,CostoAntesImp!J4+(CostoAntesImp!J4*$C$31/100),0)</f>
        <v>74.662833333333339</v>
      </c>
      <c r="K4" s="170">
        <f>IF(CostoAntesImp!K4&gt;0,CostoAntesImp!K4+(CostoAntesImp!K4*$C$31/100),0)</f>
        <v>0</v>
      </c>
      <c r="L4" s="170">
        <f>IF(CostoAntesImp!L4&gt;0,CostoAntesImp!L4+(CostoAntesImp!L4*$C$31/100),0)</f>
        <v>75.92283333333333</v>
      </c>
      <c r="M4" s="170">
        <f>IF(CostoAntesImp!M4&gt;0,CostoAntesImp!M4+(CostoAntesImp!M4*$C$31/100),0)</f>
        <v>81.702833333333331</v>
      </c>
      <c r="N4" s="170">
        <f>IF(CostoAntesImp!N4&gt;0,CostoAntesImp!N4+(CostoAntesImp!N4*$C$31/100),0)</f>
        <v>82.962833333333322</v>
      </c>
      <c r="O4" s="170">
        <f>IF(CostoAntesImp!O4&gt;0,CostoAntesImp!O4+(CostoAntesImp!O4*$C$31/100),0)</f>
        <v>84.222833333333341</v>
      </c>
      <c r="P4" s="170">
        <f>IF(CostoAntesImp!P4&gt;0,CostoAntesImp!P4+(CostoAntesImp!P4*$C$31/100),0)</f>
        <v>85.842833333333331</v>
      </c>
      <c r="Q4" s="170">
        <f>IF(CostoAntesImp!Q4&gt;0,CostoAntesImp!Q4+(CostoAntesImp!Q4*$C$31/100),0)</f>
        <v>87.282833333333329</v>
      </c>
    </row>
    <row r="5" spans="1:18" ht="20.25" customHeight="1" thickBot="1" x14ac:dyDescent="0.3">
      <c r="A5" s="162">
        <v>3</v>
      </c>
      <c r="B5" s="158" t="s">
        <v>138</v>
      </c>
      <c r="C5" s="170">
        <f>IF(CostoAntesImp!C5&gt;0,CostoAntesImp!C5+(CostoAntesImp!C5*$C$31/100),0)</f>
        <v>68.350966666666665</v>
      </c>
      <c r="D5" s="170">
        <f>IF(CostoAntesImp!D5&gt;0,CostoAntesImp!D5+(CostoAntesImp!D5*$C$31/100),0)</f>
        <v>69.610966666666656</v>
      </c>
      <c r="E5" s="170">
        <f>IF(CostoAntesImp!E5&gt;0,CostoAntesImp!E5+(CostoAntesImp!E5*$C$31/100),0)</f>
        <v>70.870966666666675</v>
      </c>
      <c r="F5" s="170">
        <f>IF(CostoAntesImp!F5&gt;0,CostoAntesImp!F5+(CostoAntesImp!F5*$C$31/100),0)</f>
        <v>72.130966666666666</v>
      </c>
      <c r="G5" s="170">
        <f>IF(CostoAntesImp!G5&gt;0,CostoAntesImp!G5+(CostoAntesImp!G5*$C$31/100),0)</f>
        <v>73.390966666666685</v>
      </c>
      <c r="H5" s="170">
        <f>IF(CostoAntesImp!H5&gt;0,CostoAntesImp!H5+(CostoAntesImp!H5*$C$31/100),0)</f>
        <v>78.040966666666677</v>
      </c>
      <c r="I5" s="170">
        <f>IF(CostoAntesImp!I5&gt;0,CostoAntesImp!I5+(CostoAntesImp!I5*$C$31/100),0)</f>
        <v>79.300966666666667</v>
      </c>
      <c r="J5" s="170">
        <f>IF(CostoAntesImp!J5&gt;0,CostoAntesImp!J5+(CostoAntesImp!J5*$C$31/100),0)</f>
        <v>80.560966666666673</v>
      </c>
      <c r="K5" s="170">
        <f>IF(CostoAntesImp!K5&gt;0,CostoAntesImp!K5+(CostoAntesImp!K5*$C$31/100),0)</f>
        <v>0</v>
      </c>
      <c r="L5" s="170">
        <f>IF(CostoAntesImp!L5&gt;0,CostoAntesImp!L5+(CostoAntesImp!L5*$C$31/100),0)</f>
        <v>81.820966666666664</v>
      </c>
      <c r="M5" s="170">
        <f>IF(CostoAntesImp!M5&gt;0,CostoAntesImp!M5+(CostoAntesImp!M5*$C$31/100),0)</f>
        <v>87.600966666666679</v>
      </c>
      <c r="N5" s="170">
        <f>IF(CostoAntesImp!N5&gt;0,CostoAntesImp!N5+(CostoAntesImp!N5*$C$31/100),0)</f>
        <v>88.860966666666684</v>
      </c>
      <c r="O5" s="170">
        <f>IF(CostoAntesImp!O5&gt;0,CostoAntesImp!O5+(CostoAntesImp!O5*$C$31/100),0)</f>
        <v>90.120966666666675</v>
      </c>
      <c r="P5" s="170">
        <f>IF(CostoAntesImp!P5&gt;0,CostoAntesImp!P5+(CostoAntesImp!P5*$C$31/100),0)</f>
        <v>91.740966666666679</v>
      </c>
      <c r="Q5" s="170">
        <f>IF(CostoAntesImp!Q5&gt;0,CostoAntesImp!Q5+(CostoAntesImp!Q5*$C$31/100),0)</f>
        <v>93.180966666666677</v>
      </c>
    </row>
    <row r="6" spans="1:18" ht="20.25" customHeight="1" thickBot="1" x14ac:dyDescent="0.3">
      <c r="A6" s="163">
        <v>4</v>
      </c>
      <c r="B6" s="160" t="s">
        <v>3</v>
      </c>
      <c r="C6" s="170">
        <f>IF(CostoAntesImp!C6&gt;0,CostoAntesImp!C6+(CostoAntesImp!C6*$C$31/100),0)</f>
        <v>0</v>
      </c>
      <c r="D6" s="170">
        <f>IF(CostoAntesImp!D6&gt;0,CostoAntesImp!D6+(CostoAntesImp!D6*$C$31/100),0)</f>
        <v>0</v>
      </c>
      <c r="E6" s="170">
        <f>IF(CostoAntesImp!E6&gt;0,CostoAntesImp!E6+(CostoAntesImp!E6*$C$31/100),0)</f>
        <v>0</v>
      </c>
      <c r="F6" s="170">
        <f>IF(CostoAntesImp!F6&gt;0,CostoAntesImp!F6+(CostoAntesImp!F6*$C$31/100),0)</f>
        <v>0</v>
      </c>
      <c r="G6" s="170">
        <f>IF(CostoAntesImp!G6&gt;0,CostoAntesImp!G6+(CostoAntesImp!G6*$C$31/100),0)</f>
        <v>0</v>
      </c>
      <c r="H6" s="170">
        <f>IF(CostoAntesImp!H6&gt;0,CostoAntesImp!H6+(CostoAntesImp!H6*$C$31/100),0)</f>
        <v>0</v>
      </c>
      <c r="I6" s="170">
        <f>IF(CostoAntesImp!I6&gt;0,CostoAntesImp!I6+(CostoAntesImp!I6*$C$31/100),0)</f>
        <v>0</v>
      </c>
      <c r="J6" s="170">
        <f>IF(CostoAntesImp!J6&gt;0,CostoAntesImp!J6+(CostoAntesImp!J6*$C$31/100),0)</f>
        <v>0</v>
      </c>
      <c r="K6" s="170">
        <f>IF(CostoAntesImp!K6&gt;0,CostoAntesImp!K6+(CostoAntesImp!K6*$C$31/100),0)</f>
        <v>16.353315686274509</v>
      </c>
      <c r="L6" s="170">
        <f>IF(CostoAntesImp!L6&gt;0,CostoAntesImp!L6+(CostoAntesImp!L6*$C$31/100),0)</f>
        <v>0</v>
      </c>
      <c r="M6" s="170">
        <f>IF(CostoAntesImp!M6&gt;0,CostoAntesImp!M6+(CostoAntesImp!M6*$C$31/100),0)</f>
        <v>0</v>
      </c>
      <c r="N6" s="170">
        <f>IF(CostoAntesImp!N6&gt;0,CostoAntesImp!N6+(CostoAntesImp!N6*$C$31/100),0)</f>
        <v>0</v>
      </c>
      <c r="O6" s="170">
        <f>IF(CostoAntesImp!O6&gt;0,CostoAntesImp!O6+(CostoAntesImp!O6*$C$31/100),0)</f>
        <v>0</v>
      </c>
      <c r="P6" s="170">
        <f>IF(CostoAntesImp!P6&gt;0,CostoAntesImp!P6+(CostoAntesImp!P6*$C$31/100),0)</f>
        <v>0</v>
      </c>
      <c r="Q6" s="170">
        <f>IF(CostoAntesImp!Q6&gt;0,CostoAntesImp!Q6+(CostoAntesImp!Q6*$C$31/100),0)</f>
        <v>0</v>
      </c>
    </row>
    <row r="7" spans="1:18" ht="20.25" customHeight="1" thickBot="1" x14ac:dyDescent="0.3">
      <c r="A7" s="162">
        <v>5</v>
      </c>
      <c r="B7" s="158" t="s">
        <v>5</v>
      </c>
      <c r="C7" s="170">
        <f>IF(CostoAntesImp!C7&gt;0,CostoAntesImp!C7+(CostoAntesImp!C7*$C$31/100),0)</f>
        <v>57.543504471544715</v>
      </c>
      <c r="D7" s="170">
        <f>IF(CostoAntesImp!D7&gt;0,CostoAntesImp!D7+(CostoAntesImp!D7*$C$31/100),0)</f>
        <v>60.460558130081303</v>
      </c>
      <c r="E7" s="170">
        <f>IF(CostoAntesImp!E7&gt;0,CostoAntesImp!E7+(CostoAntesImp!E7*$C$31/100),0)</f>
        <v>63.377611788617884</v>
      </c>
      <c r="F7" s="170">
        <f>IF(CostoAntesImp!F7&gt;0,CostoAntesImp!F7+(CostoAntesImp!F7*$C$31/100),0)</f>
        <v>66.433572764227634</v>
      </c>
      <c r="G7" s="170">
        <f>IF(CostoAntesImp!G7&gt;0,CostoAntesImp!G7+(CostoAntesImp!G7*$C$31/100),0)</f>
        <v>69.350626422764236</v>
      </c>
      <c r="H7" s="170">
        <f>IF(CostoAntesImp!H7&gt;0,CostoAntesImp!H7+(CostoAntesImp!H7*$C$31/100),0)</f>
        <v>75.24095813008131</v>
      </c>
      <c r="I7" s="170">
        <f>IF(CostoAntesImp!I7&gt;0,CostoAntesImp!I7+(CostoAntesImp!I7*$C$31/100),0)</f>
        <v>77.741289837398369</v>
      </c>
      <c r="J7" s="170">
        <f>IF(CostoAntesImp!J7&gt;0,CostoAntesImp!J7+(CostoAntesImp!J7*$C$31/100),0)</f>
        <v>80.241621544715457</v>
      </c>
      <c r="K7" s="170">
        <f>IF(CostoAntesImp!K7&gt;0,CostoAntesImp!K7+(CostoAntesImp!K7*$C$31/100),0)</f>
        <v>0</v>
      </c>
      <c r="L7" s="170">
        <f>IF(CostoAntesImp!L7&gt;0,CostoAntesImp!L7+(CostoAntesImp!L7*$C$31/100),0)</f>
        <v>86.984138617886188</v>
      </c>
      <c r="M7" s="170">
        <f>IF(CostoAntesImp!M7&gt;0,CostoAntesImp!M7+(CostoAntesImp!M7*$C$31/100),0)</f>
        <v>0</v>
      </c>
      <c r="N7" s="170">
        <f>IF(CostoAntesImp!N7&gt;0,CostoAntesImp!N7+(CostoAntesImp!N7*$C$31/100),0)</f>
        <v>0</v>
      </c>
      <c r="O7" s="170">
        <f>IF(CostoAntesImp!O7&gt;0,CostoAntesImp!O7+(CostoAntesImp!O7*$C$31/100),0)</f>
        <v>0</v>
      </c>
      <c r="P7" s="170">
        <f>IF(CostoAntesImp!P7&gt;0,CostoAntesImp!P7+(CostoAntesImp!P7*$C$31/100),0)</f>
        <v>0</v>
      </c>
      <c r="Q7" s="170">
        <f>IF(CostoAntesImp!Q7&gt;0,CostoAntesImp!Q7+(CostoAntesImp!Q7*$C$31/100),0)</f>
        <v>0</v>
      </c>
    </row>
    <row r="8" spans="1:18" ht="20.25" customHeight="1" thickBot="1" x14ac:dyDescent="0.3">
      <c r="A8" s="163">
        <v>6</v>
      </c>
      <c r="B8" s="160" t="s">
        <v>6</v>
      </c>
      <c r="C8" s="170">
        <f>IF(CostoAntesImp!C8&gt;0,CostoAntesImp!C8+(CostoAntesImp!C8*$C$31/100),0)</f>
        <v>50.645773170731715</v>
      </c>
      <c r="D8" s="170">
        <f>IF(CostoAntesImp!D8&gt;0,CostoAntesImp!D8+(CostoAntesImp!D8*$C$31/100),0)</f>
        <v>51.757031707317068</v>
      </c>
      <c r="E8" s="170">
        <f>IF(CostoAntesImp!E8&gt;0,CostoAntesImp!E8+(CostoAntesImp!E8*$C$31/100),0)</f>
        <v>53.285012195121951</v>
      </c>
      <c r="F8" s="170">
        <f>IF(CostoAntesImp!F8&gt;0,CostoAntesImp!F8+(CostoAntesImp!F8*$C$31/100),0)</f>
        <v>55.090807317073171</v>
      </c>
      <c r="G8" s="170">
        <f>IF(CostoAntesImp!G8&gt;0,CostoAntesImp!G8+(CostoAntesImp!G8*$C$31/100),0)</f>
        <v>57.591139024390245</v>
      </c>
      <c r="H8" s="170">
        <f>IF(CostoAntesImp!H8&gt;0,CostoAntesImp!H8+(CostoAntesImp!H8*$C$31/100),0)</f>
        <v>63.342563414634157</v>
      </c>
      <c r="I8" s="170">
        <f>IF(CostoAntesImp!I8&gt;0,CostoAntesImp!I8+(CostoAntesImp!I8*$C$31/100),0)</f>
        <v>64.176007317073172</v>
      </c>
      <c r="J8" s="170">
        <f>IF(CostoAntesImp!J8&gt;0,CostoAntesImp!J8+(CostoAntesImp!J8*$C$31/100),0)</f>
        <v>65.981802439024392</v>
      </c>
      <c r="K8" s="170">
        <f>IF(CostoAntesImp!K8&gt;0,CostoAntesImp!K8+(CostoAntesImp!K8*$C$31/100),0)</f>
        <v>0</v>
      </c>
      <c r="L8" s="170">
        <f>IF(CostoAntesImp!L8&gt;0,CostoAntesImp!L8+(CostoAntesImp!L8*$C$31/100),0)</f>
        <v>73.002134146341461</v>
      </c>
      <c r="M8" s="170">
        <f>IF(CostoAntesImp!M8&gt;0,CostoAntesImp!M8+(CostoAntesImp!M8*$C$31/100),0)</f>
        <v>0</v>
      </c>
      <c r="N8" s="170">
        <f>IF(CostoAntesImp!N8&gt;0,CostoAntesImp!N8+(CostoAntesImp!N8*$C$31/100),0)</f>
        <v>0</v>
      </c>
      <c r="O8" s="170">
        <f>IF(CostoAntesImp!O8&gt;0,CostoAntesImp!O8+(CostoAntesImp!O8*$C$31/100),0)</f>
        <v>0</v>
      </c>
      <c r="P8" s="170">
        <f>IF(CostoAntesImp!P8&gt;0,CostoAntesImp!P8+(CostoAntesImp!P8*$C$31/100),0)</f>
        <v>0</v>
      </c>
      <c r="Q8" s="170">
        <f>IF(CostoAntesImp!Q8&gt;0,CostoAntesImp!Q8+(CostoAntesImp!Q8*$C$31/100),0)</f>
        <v>0</v>
      </c>
    </row>
    <row r="9" spans="1:18" ht="20.25" customHeight="1" thickBot="1" x14ac:dyDescent="0.3">
      <c r="A9" s="162">
        <v>7</v>
      </c>
      <c r="B9" s="158" t="s">
        <v>7</v>
      </c>
      <c r="C9" s="170">
        <f>IF(CostoAntesImp!C9&gt;0,CostoAntesImp!C9+(CostoAntesImp!C9*$C$31/100),0)</f>
        <v>45.828295066666669</v>
      </c>
      <c r="D9" s="170">
        <f>IF(CostoAntesImp!D9&gt;0,CostoAntesImp!D9+(CostoAntesImp!D9*$C$31/100),0)</f>
        <v>46.656946666666663</v>
      </c>
      <c r="E9" s="170">
        <f>IF(CostoAntesImp!E9&gt;0,CostoAntesImp!E9+(CostoAntesImp!E9*$C$31/100),0)</f>
        <v>47.485598266666663</v>
      </c>
      <c r="F9" s="170">
        <f>IF(CostoAntesImp!F9&gt;0,CostoAntesImp!F9+(CostoAntesImp!F9*$C$31/100),0)</f>
        <v>49.379659066666669</v>
      </c>
      <c r="G9" s="170">
        <f>IF(CostoAntesImp!G9&gt;0,CostoAntesImp!G9+(CostoAntesImp!G9*$C$31/100),0)</f>
        <v>51.273719866666667</v>
      </c>
      <c r="H9" s="170">
        <f>IF(CostoAntesImp!H9&gt;0,CostoAntesImp!H9+(CostoAntesImp!H9*$C$31/100),0)</f>
        <v>51.865613866666664</v>
      </c>
      <c r="I9" s="170">
        <f>IF(CostoAntesImp!I9&gt;0,CostoAntesImp!I9+(CostoAntesImp!I9*$C$31/100),0)</f>
        <v>52.457507866666667</v>
      </c>
      <c r="J9" s="170">
        <f>IF(CostoAntesImp!J9&gt;0,CostoAntesImp!J9+(CostoAntesImp!J9*$C$31/100),0)</f>
        <v>53.286159466666668</v>
      </c>
      <c r="K9" s="170">
        <f>IF(CostoAntesImp!K9&gt;0,CostoAntesImp!K9+(CostoAntesImp!K9*$C$31/100),0)</f>
        <v>0</v>
      </c>
      <c r="L9" s="170">
        <f>IF(CostoAntesImp!L9&gt;0,CostoAntesImp!L9+(CostoAntesImp!L9*$C$31/100),0)</f>
        <v>54.114811066666675</v>
      </c>
      <c r="M9" s="170">
        <f>IF(CostoAntesImp!M9&gt;0,CostoAntesImp!M9+(CostoAntesImp!M9*$C$31/100),0)</f>
        <v>54.943462666666669</v>
      </c>
      <c r="N9" s="170">
        <f>IF(CostoAntesImp!N9&gt;0,CostoAntesImp!N9+(CostoAntesImp!N9*$C$31/100),0)</f>
        <v>55.772114266666669</v>
      </c>
      <c r="O9" s="170">
        <f>IF(CostoAntesImp!O9&gt;0,CostoAntesImp!O9+(CostoAntesImp!O9*$C$31/100),0)</f>
        <v>56.837523466666674</v>
      </c>
      <c r="P9" s="170">
        <f>IF(CostoAntesImp!P9&gt;0,CostoAntesImp!P9+(CostoAntesImp!P9*$C$31/100),0)</f>
        <v>57.902932666666672</v>
      </c>
      <c r="Q9" s="170">
        <f>IF(CostoAntesImp!Q9&gt;0,CostoAntesImp!Q9+(CostoAntesImp!Q9*$C$31/100),0)</f>
        <v>60.152129866666669</v>
      </c>
    </row>
    <row r="10" spans="1:18" ht="20.25" customHeight="1" thickBot="1" x14ac:dyDescent="0.3">
      <c r="A10" s="163">
        <v>8</v>
      </c>
      <c r="B10" s="160" t="s">
        <v>133</v>
      </c>
      <c r="C10" s="170">
        <f>IF(CostoAntesImp!C10&gt;0,CostoAntesImp!C10+(CostoAntesImp!C10*$C$31/100),0)</f>
        <v>48.843210400000004</v>
      </c>
      <c r="D10" s="170">
        <f>IF(CostoAntesImp!D10&gt;0,CostoAntesImp!D10+(CostoAntesImp!D10*$C$31/100),0)</f>
        <v>49.671861999999997</v>
      </c>
      <c r="E10" s="170">
        <f>IF(CostoAntesImp!E10&gt;0,CostoAntesImp!E10+(CostoAntesImp!E10*$C$31/100),0)</f>
        <v>50.500513599999998</v>
      </c>
      <c r="F10" s="170">
        <f>IF(CostoAntesImp!F10&gt;0,CostoAntesImp!F10+(CostoAntesImp!F10*$C$31/100),0)</f>
        <v>52.394574400000003</v>
      </c>
      <c r="G10" s="170">
        <f>IF(CostoAntesImp!G10&gt;0,CostoAntesImp!G10+(CostoAntesImp!G10*$C$31/100),0)</f>
        <v>55.472423200000001</v>
      </c>
      <c r="H10" s="170">
        <f>IF(CostoAntesImp!H10&gt;0,CostoAntesImp!H10+(CostoAntesImp!H10*$C$31/100),0)</f>
        <v>56.064317199999991</v>
      </c>
      <c r="I10" s="170">
        <f>IF(CostoAntesImp!I10&gt;0,CostoAntesImp!I10+(CostoAntesImp!I10*$C$31/100),0)</f>
        <v>56.656211200000001</v>
      </c>
      <c r="J10" s="170">
        <f>IF(CostoAntesImp!J10&gt;0,CostoAntesImp!J10+(CostoAntesImp!J10*$C$31/100),0)</f>
        <v>57.484862799999995</v>
      </c>
      <c r="K10" s="170">
        <f>IF(CostoAntesImp!K10&gt;0,CostoAntesImp!K10+(CostoAntesImp!K10*$C$31/100),0)</f>
        <v>0</v>
      </c>
      <c r="L10" s="170">
        <f>IF(CostoAntesImp!L10&gt;0,CostoAntesImp!L10+(CostoAntesImp!L10*$C$31/100),0)</f>
        <v>58.905408399999999</v>
      </c>
      <c r="M10" s="170">
        <f>IF(CostoAntesImp!M10&gt;0,CostoAntesImp!M10+(CostoAntesImp!M10*$C$31/100),0)</f>
        <v>59.734059999999999</v>
      </c>
      <c r="N10" s="170">
        <f>IF(CostoAntesImp!N10&gt;0,CostoAntesImp!N10+(CostoAntesImp!N10*$C$31/100),0)</f>
        <v>60.562711599999993</v>
      </c>
      <c r="O10" s="170">
        <f>IF(CostoAntesImp!O10&gt;0,CostoAntesImp!O10+(CostoAntesImp!O10*$C$31/100),0)</f>
        <v>61.628120799999998</v>
      </c>
      <c r="P10" s="170">
        <f>IF(CostoAntesImp!P10&gt;0,CostoAntesImp!P10+(CostoAntesImp!P10*$C$31/100),0)</f>
        <v>62.693530000000003</v>
      </c>
      <c r="Q10" s="170">
        <f>IF(CostoAntesImp!Q10&gt;0,CostoAntesImp!Q10+(CostoAntesImp!Q10*$C$31/100),0)</f>
        <v>64.942727200000007</v>
      </c>
    </row>
    <row r="11" spans="1:18" ht="20.25" customHeight="1" thickBot="1" x14ac:dyDescent="0.3">
      <c r="A11" s="162">
        <v>9</v>
      </c>
      <c r="B11" s="158" t="s">
        <v>8</v>
      </c>
      <c r="C11" s="170">
        <f>IF(CostoAntesImp!C11&gt;0,CostoAntesImp!C11+(CostoAntesImp!C11*$C$31/100),0)</f>
        <v>24.171030228310507</v>
      </c>
      <c r="D11" s="170">
        <f>IF(CostoAntesImp!D11&gt;0,CostoAntesImp!D11+(CostoAntesImp!D11*$C$31/100),0)</f>
        <v>24.46823570776256</v>
      </c>
      <c r="E11" s="170">
        <f>IF(CostoAntesImp!E11&gt;0,CostoAntesImp!E11+(CostoAntesImp!E11*$C$31/100),0)</f>
        <v>24.765441187214616</v>
      </c>
      <c r="F11" s="170">
        <f>IF(CostoAntesImp!F11&gt;0,CostoAntesImp!F11+(CostoAntesImp!F11*$C$31/100),0)</f>
        <v>24.988345296803658</v>
      </c>
      <c r="G11" s="170">
        <f>IF(CostoAntesImp!G11&gt;0,CostoAntesImp!G11+(CostoAntesImp!G11*$C$31/100),0)</f>
        <v>25.211249406392696</v>
      </c>
      <c r="H11" s="170">
        <f>IF(CostoAntesImp!H11&gt;0,CostoAntesImp!H11+(CostoAntesImp!H11*$C$31/100),0)</f>
        <v>25.582756255707764</v>
      </c>
      <c r="I11" s="170">
        <f>IF(CostoAntesImp!I11&gt;0,CostoAntesImp!I11+(CostoAntesImp!I11*$C$31/100),0)</f>
        <v>26.3257699543379</v>
      </c>
      <c r="J11" s="170">
        <f>IF(CostoAntesImp!J11&gt;0,CostoAntesImp!J11+(CostoAntesImp!J11*$C$31/100),0)</f>
        <v>26.92018091324201</v>
      </c>
      <c r="K11" s="170">
        <f>IF(CostoAntesImp!K11&gt;0,CostoAntesImp!K11+(CostoAntesImp!K11*$C$31/100),0)</f>
        <v>0</v>
      </c>
      <c r="L11" s="170">
        <f>IF(CostoAntesImp!L11&gt;0,CostoAntesImp!L11+(CostoAntesImp!L11*$C$31/100),0)</f>
        <v>27.440290502283105</v>
      </c>
      <c r="M11" s="170">
        <f>IF(CostoAntesImp!M11&gt;0,CostoAntesImp!M11+(CostoAntesImp!M11*$C$31/100),0)</f>
        <v>27.886098721461188</v>
      </c>
      <c r="N11" s="170">
        <f>IF(CostoAntesImp!N11&gt;0,CostoAntesImp!N11+(CostoAntesImp!N11*$C$31/100),0)</f>
        <v>28.331906940639271</v>
      </c>
      <c r="O11" s="170">
        <f>IF(CostoAntesImp!O11&gt;0,CostoAntesImp!O11+(CostoAntesImp!O11*$C$31/100),0)</f>
        <v>28.70341378995434</v>
      </c>
      <c r="P11" s="170">
        <f>IF(CostoAntesImp!P11&gt;0,CostoAntesImp!P11+(CostoAntesImp!P11*$C$31/100),0)</f>
        <v>29.372126118721464</v>
      </c>
      <c r="Q11" s="170">
        <f>IF(CostoAntesImp!Q11&gt;0,CostoAntesImp!Q11+(CostoAntesImp!Q11*$C$31/100),0)</f>
        <v>29.966537077625571</v>
      </c>
    </row>
    <row r="12" spans="1:18" ht="20.25" customHeight="1" thickBot="1" x14ac:dyDescent="0.3">
      <c r="A12" s="163">
        <v>10</v>
      </c>
      <c r="B12" s="160" t="s">
        <v>134</v>
      </c>
      <c r="C12" s="170">
        <f>IF(CostoAntesImp!C12&gt;0,CostoAntesImp!C12+(CostoAntesImp!C12*$C$31/100),0)</f>
        <v>29.405010666666666</v>
      </c>
      <c r="D12" s="170">
        <f>IF(CostoAntesImp!D12&gt;0,CostoAntesImp!D12+(CostoAntesImp!D12*$C$31/100),0)</f>
        <v>30.576594666666665</v>
      </c>
      <c r="E12" s="170">
        <f>IF(CostoAntesImp!E12&gt;0,CostoAntesImp!E12+(CostoAntesImp!E12*$C$31/100),0)</f>
        <v>31.748178666666668</v>
      </c>
      <c r="F12" s="170">
        <f>IF(CostoAntesImp!F12&gt;0,CostoAntesImp!F12+(CostoAntesImp!F12*$C$31/100),0)</f>
        <v>32.919762666666671</v>
      </c>
      <c r="G12" s="170">
        <f>IF(CostoAntesImp!G12&gt;0,CostoAntesImp!G12+(CostoAntesImp!G12*$C$31/100),0)</f>
        <v>34.091346666666666</v>
      </c>
      <c r="H12" s="170">
        <f>IF(CostoAntesImp!H12&gt;0,CostoAntesImp!H12+(CostoAntesImp!H12*$C$31/100),0)</f>
        <v>37.522930666666667</v>
      </c>
      <c r="I12" s="170">
        <f>IF(CostoAntesImp!I12&gt;0,CostoAntesImp!I12+(CostoAntesImp!I12*$C$31/100),0)</f>
        <v>38.694514666666663</v>
      </c>
      <c r="J12" s="170">
        <f>IF(CostoAntesImp!J12&gt;0,CostoAntesImp!J12+(CostoAntesImp!J12*$C$31/100),0)</f>
        <v>39.866098666666666</v>
      </c>
      <c r="K12" s="170">
        <f>IF(CostoAntesImp!K12&gt;0,CostoAntesImp!K12+(CostoAntesImp!K12*$C$31/100),0)</f>
        <v>0</v>
      </c>
      <c r="L12" s="170">
        <f>IF(CostoAntesImp!L12&gt;0,CostoAntesImp!L12+(CostoAntesImp!L12*$C$31/100),0)</f>
        <v>41.037682666666676</v>
      </c>
      <c r="M12" s="170">
        <f>IF(CostoAntesImp!M12&gt;0,CostoAntesImp!M12+(CostoAntesImp!M12*$C$31/100),0)</f>
        <v>42.209266666666664</v>
      </c>
      <c r="N12" s="170">
        <f>IF(CostoAntesImp!N12&gt;0,CostoAntesImp!N12+(CostoAntesImp!N12*$C$31/100),0)</f>
        <v>43.673746666666673</v>
      </c>
      <c r="O12" s="170">
        <f>IF(CostoAntesImp!O12&gt;0,CostoAntesImp!O12+(CostoAntesImp!O12*$C$31/100),0)</f>
        <v>45.138226666666668</v>
      </c>
      <c r="P12" s="170">
        <f>IF(CostoAntesImp!P12&gt;0,CostoAntesImp!P12+(CostoAntesImp!P12*$C$31/100),0)</f>
        <v>46.456258666666677</v>
      </c>
      <c r="Q12" s="170">
        <f>IF(CostoAntesImp!Q12&gt;0,CostoAntesImp!Q12+(CostoAntesImp!Q12*$C$31/100),0)</f>
        <v>48.067186666666672</v>
      </c>
    </row>
    <row r="13" spans="1:18" ht="20.25" customHeight="1" thickBot="1" x14ac:dyDescent="0.3">
      <c r="A13" s="162">
        <v>11</v>
      </c>
      <c r="B13" s="158" t="s">
        <v>135</v>
      </c>
      <c r="C13" s="170">
        <f>IF(CostoAntesImp!C13&gt;0,CostoAntesImp!C13+(CostoAntesImp!C13*$C$31/100),0)</f>
        <v>35.749132000000003</v>
      </c>
      <c r="D13" s="170">
        <f>IF(CostoAntesImp!D13&gt;0,CostoAntesImp!D13+(CostoAntesImp!D13*$C$31/100),0)</f>
        <v>37.652955999999996</v>
      </c>
      <c r="E13" s="170">
        <f>IF(CostoAntesImp!E13&gt;0,CostoAntesImp!E13+(CostoAntesImp!E13*$C$31/100),0)</f>
        <v>39.556780000000003</v>
      </c>
      <c r="F13" s="170">
        <f>IF(CostoAntesImp!F13&gt;0,CostoAntesImp!F13+(CostoAntesImp!F13*$C$31/100),0)</f>
        <v>41.021259999999998</v>
      </c>
      <c r="G13" s="170">
        <f>IF(CostoAntesImp!G13&gt;0,CostoAntesImp!G13+(CostoAntesImp!G13*$C$31/100),0)</f>
        <v>42.48574</v>
      </c>
      <c r="H13" s="170">
        <f>IF(CostoAntesImp!H13&gt;0,CostoAntesImp!H13+(CostoAntesImp!H13*$C$31/100),0)</f>
        <v>55.436443999999995</v>
      </c>
      <c r="I13" s="170">
        <f>IF(CostoAntesImp!I13&gt;0,CostoAntesImp!I13+(CostoAntesImp!I13*$C$31/100),0)</f>
        <v>58.658299999999997</v>
      </c>
      <c r="J13" s="170">
        <f>IF(CostoAntesImp!J13&gt;0,CostoAntesImp!J13+(CostoAntesImp!J13*$C$31/100),0)</f>
        <v>60.415676000000005</v>
      </c>
      <c r="K13" s="170">
        <f>IF(CostoAntesImp!K13&gt;0,CostoAntesImp!K13+(CostoAntesImp!K13*$C$31/100),0)</f>
        <v>0</v>
      </c>
      <c r="L13" s="170">
        <f>IF(CostoAntesImp!L13&gt;0,CostoAntesImp!L13+(CostoAntesImp!L13*$C$31/100),0)</f>
        <v>62.465948000000004</v>
      </c>
      <c r="M13" s="170">
        <f>IF(CostoAntesImp!M13&gt;0,CostoAntesImp!M13+(CostoAntesImp!M13*$C$31/100),0)</f>
        <v>65.31174</v>
      </c>
      <c r="N13" s="170">
        <f>IF(CostoAntesImp!N13&gt;0,CostoAntesImp!N13+(CostoAntesImp!N13*$C$31/100),0)</f>
        <v>65.751084000000006</v>
      </c>
      <c r="O13" s="170">
        <f>IF(CostoAntesImp!O13&gt;0,CostoAntesImp!O13+(CostoAntesImp!O13*$C$31/100),0)</f>
        <v>66.776219999999995</v>
      </c>
      <c r="P13" s="170">
        <f>IF(CostoAntesImp!P13&gt;0,CostoAntesImp!P13+(CostoAntesImp!P13*$C$31/100),0)</f>
        <v>68.972940000000008</v>
      </c>
      <c r="Q13" s="170">
        <f>IF(CostoAntesImp!Q13&gt;0,CostoAntesImp!Q13+(CostoAntesImp!Q13*$C$31/100),0)</f>
        <v>70.876763999999994</v>
      </c>
    </row>
    <row r="14" spans="1:18" ht="20.25" customHeight="1" thickBot="1" x14ac:dyDescent="0.3">
      <c r="A14" s="163">
        <v>12</v>
      </c>
      <c r="B14" s="160" t="s">
        <v>9</v>
      </c>
      <c r="C14" s="170">
        <f>IF(CostoAntesImp!C14&gt;0,CostoAntesImp!C14+(CostoAntesImp!C14*$C$31/100),0)</f>
        <v>0</v>
      </c>
      <c r="D14" s="170">
        <f>IF(CostoAntesImp!D14&gt;0,CostoAntesImp!D14+(CostoAntesImp!D14*$C$31/100),0)</f>
        <v>0</v>
      </c>
      <c r="E14" s="170">
        <f>IF(CostoAntesImp!E14&gt;0,CostoAntesImp!E14+(CostoAntesImp!E14*$C$31/100),0)</f>
        <v>0</v>
      </c>
      <c r="F14" s="170">
        <f>IF(CostoAntesImp!F14&gt;0,CostoAntesImp!F14+(CostoAntesImp!F14*$C$31/100),0)</f>
        <v>0</v>
      </c>
      <c r="G14" s="170">
        <f>IF(CostoAntesImp!G14&gt;0,CostoAntesImp!G14+(CostoAntesImp!G14*$C$31/100),0)</f>
        <v>0</v>
      </c>
      <c r="H14" s="170">
        <f>IF(CostoAntesImp!H14&gt;0,CostoAntesImp!H14+(CostoAntesImp!H14*$C$31/100),0)</f>
        <v>0</v>
      </c>
      <c r="I14" s="170">
        <f>IF(CostoAntesImp!I14&gt;0,CostoAntesImp!I14+(CostoAntesImp!I14*$C$31/100),0)</f>
        <v>0</v>
      </c>
      <c r="J14" s="170">
        <f>IF(CostoAntesImp!J14&gt;0,CostoAntesImp!J14+(CostoAntesImp!J14*$C$31/100),0)</f>
        <v>78.805556910569123</v>
      </c>
      <c r="K14" s="170">
        <f>IF(CostoAntesImp!K14&gt;0,CostoAntesImp!K14+(CostoAntesImp!K14*$C$31/100),0)</f>
        <v>81.166981300813021</v>
      </c>
      <c r="L14" s="170">
        <f>IF(CostoAntesImp!L14&gt;0,CostoAntesImp!L14+(CostoAntesImp!L14*$C$31/100),0)</f>
        <v>83.528405691056932</v>
      </c>
      <c r="M14" s="170">
        <f>IF(CostoAntesImp!M14&gt;0,CostoAntesImp!M14+(CostoAntesImp!M14*$C$31/100),0)</f>
        <v>85.612015447154491</v>
      </c>
      <c r="N14" s="170">
        <f>IF(CostoAntesImp!N14&gt;0,CostoAntesImp!N14+(CostoAntesImp!N14*$C$31/100),0)</f>
        <v>87.278903252032535</v>
      </c>
      <c r="O14" s="170">
        <f>IF(CostoAntesImp!O14&gt;0,CostoAntesImp!O14+(CostoAntesImp!O14*$C$31/100),0)</f>
        <v>88.11234715447155</v>
      </c>
      <c r="P14" s="170">
        <f>IF(CostoAntesImp!P14&gt;0,CostoAntesImp!P14+(CostoAntesImp!P14*$C$31/100),0)</f>
        <v>89.08469837398377</v>
      </c>
      <c r="Q14" s="170">
        <f>IF(CostoAntesImp!Q14&gt;0,CostoAntesImp!Q14+(CostoAntesImp!Q14*$C$31/100),0)</f>
        <v>90.473771544715461</v>
      </c>
    </row>
    <row r="15" spans="1:18" ht="20.25" customHeight="1" thickBot="1" x14ac:dyDescent="0.3">
      <c r="A15" s="162">
        <v>13</v>
      </c>
      <c r="B15" s="158" t="s">
        <v>10</v>
      </c>
      <c r="C15" s="170">
        <f>IF(CostoAntesImp!C15&gt;0,CostoAntesImp!C15+(CostoAntesImp!C15*$C$31/100),0)</f>
        <v>56.69283333333334</v>
      </c>
      <c r="D15" s="170">
        <f>IF(CostoAntesImp!D15&gt;0,CostoAntesImp!D15+(CostoAntesImp!D15*$C$31/100),0)</f>
        <v>57.772833333333324</v>
      </c>
      <c r="E15" s="170">
        <f>IF(CostoAntesImp!E15&gt;0,CostoAntesImp!E15+(CostoAntesImp!E15*$C$31/100),0)</f>
        <v>58.672833333333344</v>
      </c>
      <c r="F15" s="170">
        <f>IF(CostoAntesImp!F15&gt;0,CostoAntesImp!F15+(CostoAntesImp!F15*$C$31/100),0)</f>
        <v>61.192833333333333</v>
      </c>
      <c r="G15" s="170">
        <f>IF(CostoAntesImp!G15&gt;0,CostoAntesImp!G15+(CostoAntesImp!G15*$C$31/100),0)</f>
        <v>62.992833333333323</v>
      </c>
      <c r="H15" s="170">
        <f>IF(CostoAntesImp!H15&gt;0,CostoAntesImp!H15+(CostoAntesImp!H15*$C$31/100),0)</f>
        <v>67.642833333333328</v>
      </c>
      <c r="I15" s="170">
        <f>IF(CostoAntesImp!I15&gt;0,CostoAntesImp!I15+(CostoAntesImp!I15*$C$31/100),0)</f>
        <v>68.002833333333328</v>
      </c>
      <c r="J15" s="170">
        <f>IF(CostoAntesImp!J15&gt;0,CostoAntesImp!J15+(CostoAntesImp!J15*$C$31/100),0)</f>
        <v>68.902833333333334</v>
      </c>
      <c r="K15" s="170">
        <f>IF(CostoAntesImp!K15&gt;0,CostoAntesImp!K15+(CostoAntesImp!K15*$C$31/100),0)</f>
        <v>69.982833333333346</v>
      </c>
      <c r="L15" s="170">
        <f>IF(CostoAntesImp!L15&gt;0,CostoAntesImp!L15+(CostoAntesImp!L15*$C$31/100),0)</f>
        <v>74.862833333333327</v>
      </c>
      <c r="M15" s="170">
        <f>IF(CostoAntesImp!M15&gt;0,CostoAntesImp!M15+(CostoAntesImp!M15*$C$31/100),0)</f>
        <v>75.402833333333334</v>
      </c>
      <c r="N15" s="170">
        <f>IF(CostoAntesImp!N15&gt;0,CostoAntesImp!N15+(CostoAntesImp!N15*$C$31/100),0)</f>
        <v>75.762833333333319</v>
      </c>
      <c r="O15" s="170">
        <f>IF(CostoAntesImp!O15&gt;0,CostoAntesImp!O15+(CostoAntesImp!O15*$C$31/100),0)</f>
        <v>77.202833333333331</v>
      </c>
      <c r="P15" s="170">
        <f>IF(CostoAntesImp!P15&gt;0,CostoAntesImp!P15+(CostoAntesImp!P15*$C$31/100),0)</f>
        <v>78.102833333333322</v>
      </c>
      <c r="Q15" s="170">
        <f>IF(CostoAntesImp!Q15&gt;0,CostoAntesImp!Q15+(CostoAntesImp!Q15*$C$31/100),0)</f>
        <v>79.002833333333342</v>
      </c>
    </row>
    <row r="16" spans="1:18" ht="20.25" customHeight="1" thickBot="1" x14ac:dyDescent="0.3">
      <c r="A16" s="163">
        <v>14</v>
      </c>
      <c r="B16" s="160" t="s">
        <v>171</v>
      </c>
      <c r="C16" s="170">
        <f>IF(CostoAntesImp!C16&gt;0,CostoAntesImp!C16+(CostoAntesImp!C16*$C$31/100),0)</f>
        <v>58.761299999999999</v>
      </c>
      <c r="D16" s="170">
        <f>IF(CostoAntesImp!D16&gt;0,CostoAntesImp!D16+(CostoAntesImp!D16*$C$31/100),0)</f>
        <v>59.841299999999997</v>
      </c>
      <c r="E16" s="170">
        <f>IF(CostoAntesImp!E16&gt;0,CostoAntesImp!E16+(CostoAntesImp!E16*$C$31/100),0)</f>
        <v>60.741299999999995</v>
      </c>
      <c r="F16" s="170">
        <f>IF(CostoAntesImp!F16&gt;0,CostoAntesImp!F16+(CostoAntesImp!F16*$C$31/100),0)</f>
        <v>63.261299999999999</v>
      </c>
      <c r="G16" s="170">
        <f>IF(CostoAntesImp!G16&gt;0,CostoAntesImp!G16+(CostoAntesImp!G16*$C$31/100),0)</f>
        <v>65.241299999999995</v>
      </c>
      <c r="H16" s="170">
        <f>IF(CostoAntesImp!H16&gt;0,CostoAntesImp!H16+(CostoAntesImp!H16*$C$31/100),0)</f>
        <v>69.891300000000001</v>
      </c>
      <c r="I16" s="170">
        <f>IF(CostoAntesImp!I16&gt;0,CostoAntesImp!I16+(CostoAntesImp!I16*$C$31/100),0)</f>
        <v>70.251300000000001</v>
      </c>
      <c r="J16" s="170">
        <f>IF(CostoAntesImp!J16&gt;0,CostoAntesImp!J16+(CostoAntesImp!J16*$C$31/100),0)</f>
        <v>71.151300000000006</v>
      </c>
      <c r="K16" s="170">
        <f>IF(CostoAntesImp!K16&gt;0,CostoAntesImp!K16+(CostoAntesImp!K16*$C$31/100),0)</f>
        <v>72.231300000000005</v>
      </c>
      <c r="L16" s="170">
        <f>IF(CostoAntesImp!L16&gt;0,CostoAntesImp!L16+(CostoAntesImp!L16*$C$31/100),0)</f>
        <v>77.471299999999999</v>
      </c>
      <c r="M16" s="170">
        <f>IF(CostoAntesImp!M16&gt;0,CostoAntesImp!M16+(CostoAntesImp!M16*$C$31/100),0)</f>
        <v>78.011299999999991</v>
      </c>
      <c r="N16" s="170">
        <f>IF(CostoAntesImp!N16&gt;0,CostoAntesImp!N16+(CostoAntesImp!N16*$C$31/100),0)</f>
        <v>78.371299999999991</v>
      </c>
      <c r="O16" s="170">
        <f>IF(CostoAntesImp!O16&gt;0,CostoAntesImp!O16+(CostoAntesImp!O16*$C$31/100),0)</f>
        <v>79.811300000000003</v>
      </c>
      <c r="P16" s="170">
        <f>IF(CostoAntesImp!P16&gt;0,CostoAntesImp!P16+(CostoAntesImp!P16*$C$31/100),0)</f>
        <v>80.711299999999994</v>
      </c>
      <c r="Q16" s="170">
        <f>IF(CostoAntesImp!Q16&gt;0,CostoAntesImp!Q16+(CostoAntesImp!Q16*$C$31/100),0)</f>
        <v>81.611300000000014</v>
      </c>
    </row>
    <row r="17" spans="1:17" ht="20.25" customHeight="1" thickBot="1" x14ac:dyDescent="0.3">
      <c r="A17" s="162">
        <v>15</v>
      </c>
      <c r="B17" s="158" t="s">
        <v>11</v>
      </c>
      <c r="C17" s="170">
        <f>IF(CostoAntesImp!C17&gt;0,CostoAntesImp!C17+(CostoAntesImp!C17*$C$31/100),0)</f>
        <v>15.33631568627451</v>
      </c>
      <c r="D17" s="170">
        <f>IF(CostoAntesImp!D17&gt;0,CostoAntesImp!D17+(CostoAntesImp!D17*$C$31/100),0)</f>
        <v>0</v>
      </c>
      <c r="E17" s="170">
        <f>IF(CostoAntesImp!E17&gt;0,CostoAntesImp!E17+(CostoAntesImp!E17*$C$31/100),0)</f>
        <v>0</v>
      </c>
      <c r="F17" s="170">
        <f>IF(CostoAntesImp!F17&gt;0,CostoAntesImp!F17+(CostoAntesImp!F17*$C$31/100),0)</f>
        <v>0</v>
      </c>
      <c r="G17" s="170">
        <f>IF(CostoAntesImp!G17&gt;0,CostoAntesImp!G17+(CostoAntesImp!G17*$C$31/100),0)</f>
        <v>0</v>
      </c>
      <c r="H17" s="170">
        <f>IF(CostoAntesImp!H17&gt;0,CostoAntesImp!H17+(CostoAntesImp!H17*$C$31/100),0)</f>
        <v>0</v>
      </c>
      <c r="I17" s="170">
        <f>IF(CostoAntesImp!I17&gt;0,CostoAntesImp!I17+(CostoAntesImp!I17*$C$31/100),0)</f>
        <v>0</v>
      </c>
      <c r="J17" s="170">
        <f>IF(CostoAntesImp!J17&gt;0,CostoAntesImp!J17+(CostoAntesImp!J17*$C$31/100),0)</f>
        <v>0</v>
      </c>
      <c r="K17" s="170">
        <f>IF(CostoAntesImp!K17&gt;0,CostoAntesImp!K17+(CostoAntesImp!K17*$C$31/100),0)</f>
        <v>0</v>
      </c>
      <c r="L17" s="170">
        <f>IF(CostoAntesImp!L17&gt;0,CostoAntesImp!L17+(CostoAntesImp!L17*$C$31/100),0)</f>
        <v>0</v>
      </c>
      <c r="M17" s="170">
        <f>IF(CostoAntesImp!M17&gt;0,CostoAntesImp!M17+(CostoAntesImp!M17*$C$31/100),0)</f>
        <v>0</v>
      </c>
      <c r="N17" s="170">
        <f>IF(CostoAntesImp!N17&gt;0,CostoAntesImp!N17+(CostoAntesImp!N17*$C$31/100),0)</f>
        <v>0</v>
      </c>
      <c r="O17" s="170">
        <f>IF(CostoAntesImp!O17&gt;0,CostoAntesImp!O17+(CostoAntesImp!O17*$C$31/100),0)</f>
        <v>0</v>
      </c>
      <c r="P17" s="170">
        <f>IF(CostoAntesImp!P17&gt;0,CostoAntesImp!P17+(CostoAntesImp!P17*$C$31/100),0)</f>
        <v>0</v>
      </c>
      <c r="Q17" s="170">
        <f>IF(CostoAntesImp!Q17&gt;0,CostoAntesImp!Q17+(CostoAntesImp!Q17*$C$31/100),0)</f>
        <v>0</v>
      </c>
    </row>
    <row r="18" spans="1:17" ht="20.25" customHeight="1" thickBot="1" x14ac:dyDescent="0.3">
      <c r="A18" s="163">
        <v>16</v>
      </c>
      <c r="B18" s="160" t="s">
        <v>12</v>
      </c>
      <c r="C18" s="170">
        <f>IF(CostoAntesImp!C18&gt;0,CostoAntesImp!C18+(CostoAntesImp!C18*$C$31/100),0)</f>
        <v>77.468368627450985</v>
      </c>
      <c r="D18" s="170">
        <f>IF(CostoAntesImp!D18&gt;0,CostoAntesImp!D18+(CostoAntesImp!D18*$C$31/100),0)</f>
        <v>79.38272156862746</v>
      </c>
      <c r="E18" s="170">
        <f>IF(CostoAntesImp!E18&gt;0,CostoAntesImp!E18+(CostoAntesImp!E18*$C$31/100),0)</f>
        <v>81.297074509803934</v>
      </c>
      <c r="F18" s="170">
        <f>IF(CostoAntesImp!F18&gt;0,CostoAntesImp!F18+(CostoAntesImp!F18*$C$31/100),0)</f>
        <v>83.211427450980395</v>
      </c>
      <c r="G18" s="170">
        <f>IF(CostoAntesImp!G18&gt;0,CostoAntesImp!G18+(CostoAntesImp!G18*$C$31/100),0)</f>
        <v>85.125780392156869</v>
      </c>
      <c r="H18" s="170">
        <f>IF(CostoAntesImp!H18&gt;0,CostoAntesImp!H18+(CostoAntesImp!H18*$C$31/100),0)</f>
        <v>87.040133333333358</v>
      </c>
      <c r="I18" s="170">
        <f>IF(CostoAntesImp!I18&gt;0,CostoAntesImp!I18+(CostoAntesImp!I18*$C$31/100),0)</f>
        <v>89.193780392156881</v>
      </c>
      <c r="J18" s="170">
        <f>IF(CostoAntesImp!J18&gt;0,CostoAntesImp!J18+(CostoAntesImp!J18*$C$31/100),0)</f>
        <v>91.108133333333342</v>
      </c>
      <c r="K18" s="170">
        <f>IF(CostoAntesImp!K18&gt;0,CostoAntesImp!K18+(CostoAntesImp!K18*$C$31/100),0)</f>
        <v>0</v>
      </c>
      <c r="L18" s="170">
        <f>IF(CostoAntesImp!L18&gt;0,CostoAntesImp!L18+(CostoAntesImp!L18*$C$31/100),0)</f>
        <v>93.022486274509816</v>
      </c>
      <c r="M18" s="170">
        <f>IF(CostoAntesImp!M18&gt;0,CostoAntesImp!M18+(CostoAntesImp!M18*$C$31/100),0)</f>
        <v>94.936839215686291</v>
      </c>
      <c r="N18" s="170">
        <f>IF(CostoAntesImp!N18&gt;0,CostoAntesImp!N18+(CostoAntesImp!N18*$C$31/100),0)</f>
        <v>96.851192156862766</v>
      </c>
      <c r="O18" s="170">
        <f>IF(CostoAntesImp!O18&gt;0,CostoAntesImp!O18+(CostoAntesImp!O18*$C$31/100),0)</f>
        <v>98.76554509803924</v>
      </c>
      <c r="P18" s="170">
        <f>IF(CostoAntesImp!P18&gt;0,CostoAntesImp!P18+(CostoAntesImp!P18*$C$31/100),0)</f>
        <v>100.6798980392157</v>
      </c>
      <c r="Q18" s="170">
        <f>IF(CostoAntesImp!Q18&gt;0,CostoAntesImp!Q18+(CostoAntesImp!Q18*$C$31/100),0)</f>
        <v>102.59425098039216</v>
      </c>
    </row>
    <row r="19" spans="1:17" ht="20.25" customHeight="1" thickBot="1" x14ac:dyDescent="0.3">
      <c r="A19" s="162">
        <v>17</v>
      </c>
      <c r="B19" s="158" t="s">
        <v>13</v>
      </c>
      <c r="C19" s="170">
        <f>IF(CostoAntesImp!C19&gt;0,CostoAntesImp!C19+(CostoAntesImp!C19*$C$31/100),0)</f>
        <v>61.623552941176484</v>
      </c>
      <c r="D19" s="170">
        <f>IF(CostoAntesImp!D19&gt;0,CostoAntesImp!D19+(CostoAntesImp!D19*$C$31/100),0)</f>
        <v>64.495082352941182</v>
      </c>
      <c r="E19" s="170">
        <f>IF(CostoAntesImp!E19&gt;0,CostoAntesImp!E19+(CostoAntesImp!E19*$C$31/100),0)</f>
        <v>67.366611764705894</v>
      </c>
      <c r="F19" s="170">
        <f>IF(CostoAntesImp!F19&gt;0,CostoAntesImp!F19+(CostoAntesImp!F19*$C$31/100),0)</f>
        <v>70.238141176470592</v>
      </c>
      <c r="G19" s="170">
        <f>IF(CostoAntesImp!G19&gt;0,CostoAntesImp!G19+(CostoAntesImp!G19*$C$31/100),0)</f>
        <v>73.109670588235304</v>
      </c>
      <c r="H19" s="170">
        <f>IF(CostoAntesImp!H19&gt;0,CostoAntesImp!H19+(CostoAntesImp!H19*$C$31/100),0)</f>
        <v>75.981200000000015</v>
      </c>
      <c r="I19" s="170">
        <f>IF(CostoAntesImp!I19&gt;0,CostoAntesImp!I19+(CostoAntesImp!I19*$C$31/100),0)</f>
        <v>0</v>
      </c>
      <c r="J19" s="170">
        <f>IF(CostoAntesImp!J19&gt;0,CostoAntesImp!J19+(CostoAntesImp!J19*$C$31/100),0)</f>
        <v>0</v>
      </c>
      <c r="K19" s="170">
        <f>IF(CostoAntesImp!K19&gt;0,CostoAntesImp!K19+(CostoAntesImp!K19*$C$31/100),0)</f>
        <v>0</v>
      </c>
      <c r="L19" s="170">
        <f>IF(CostoAntesImp!L19&gt;0,CostoAntesImp!L19+(CostoAntesImp!L19*$C$31/100),0)</f>
        <v>0</v>
      </c>
      <c r="M19" s="170">
        <f>IF(CostoAntesImp!M19&gt;0,CostoAntesImp!M19+(CostoAntesImp!M19*$C$31/100),0)</f>
        <v>0</v>
      </c>
      <c r="N19" s="170">
        <f>IF(CostoAntesImp!N19&gt;0,CostoAntesImp!N19+(CostoAntesImp!N19*$C$31/100),0)</f>
        <v>0</v>
      </c>
      <c r="O19" s="170">
        <f>IF(CostoAntesImp!O19&gt;0,CostoAntesImp!O19+(CostoAntesImp!O19*$C$31/100),0)</f>
        <v>0</v>
      </c>
      <c r="P19" s="170">
        <f>IF(CostoAntesImp!P19&gt;0,CostoAntesImp!P19+(CostoAntesImp!P19*$C$31/100),0)</f>
        <v>0</v>
      </c>
      <c r="Q19" s="170">
        <f>IF(CostoAntesImp!Q19&gt;0,CostoAntesImp!Q19+(CostoAntesImp!Q19*$C$31/100),0)</f>
        <v>0</v>
      </c>
    </row>
    <row r="20" spans="1:17" ht="20.25" customHeight="1" thickBot="1" x14ac:dyDescent="0.3">
      <c r="A20" s="163">
        <v>18</v>
      </c>
      <c r="B20" s="160" t="s">
        <v>14</v>
      </c>
      <c r="C20" s="170">
        <f>IF(CostoAntesImp!C20&gt;0,CostoAntesImp!C20+(CostoAntesImp!C20*$C$31/100),0)</f>
        <v>74.93096470588236</v>
      </c>
      <c r="D20" s="170">
        <f>IF(CostoAntesImp!D20&gt;0,CostoAntesImp!D20+(CostoAntesImp!D20*$C$31/100),0)</f>
        <v>79.477552941176484</v>
      </c>
      <c r="E20" s="170">
        <f>IF(CostoAntesImp!E20&gt;0,CostoAntesImp!E20+(CostoAntesImp!E20*$C$31/100),0)</f>
        <v>84.024141176470607</v>
      </c>
      <c r="F20" s="170">
        <f>IF(CostoAntesImp!F20&gt;0,CostoAntesImp!F20+(CostoAntesImp!F20*$C$31/100),0)</f>
        <v>88.570729411764717</v>
      </c>
      <c r="G20" s="170">
        <f>IF(CostoAntesImp!G20&gt;0,CostoAntesImp!G20+(CostoAntesImp!G20*$C$31/100),0)</f>
        <v>93.11731764705884</v>
      </c>
      <c r="H20" s="170">
        <f>IF(CostoAntesImp!H20&gt;0,CostoAntesImp!H20+(CostoAntesImp!H20*$C$31/100),0)</f>
        <v>97.66390588235295</v>
      </c>
      <c r="I20" s="170">
        <f>IF(CostoAntesImp!I20&gt;0,CostoAntesImp!I20+(CostoAntesImp!I20*$C$31/100),0)</f>
        <v>0</v>
      </c>
      <c r="J20" s="170">
        <f>IF(CostoAntesImp!J20&gt;0,CostoAntesImp!J20+(CostoAntesImp!J20*$C$31/100),0)</f>
        <v>0</v>
      </c>
      <c r="K20" s="170">
        <f>IF(CostoAntesImp!K20&gt;0,CostoAntesImp!K20+(CostoAntesImp!K20*$C$31/100),0)</f>
        <v>0</v>
      </c>
      <c r="L20" s="170">
        <f>IF(CostoAntesImp!L20&gt;0,CostoAntesImp!L20+(CostoAntesImp!L20*$C$31/100),0)</f>
        <v>0</v>
      </c>
      <c r="M20" s="170">
        <f>IF(CostoAntesImp!M20&gt;0,CostoAntesImp!M20+(CostoAntesImp!M20*$C$31/100),0)</f>
        <v>0</v>
      </c>
      <c r="N20" s="170">
        <f>IF(CostoAntesImp!N20&gt;0,CostoAntesImp!N20+(CostoAntesImp!N20*$C$31/100),0)</f>
        <v>0</v>
      </c>
      <c r="O20" s="170">
        <f>IF(CostoAntesImp!O20&gt;0,CostoAntesImp!O20+(CostoAntesImp!O20*$C$31/100),0)</f>
        <v>0</v>
      </c>
      <c r="P20" s="170">
        <f>IF(CostoAntesImp!P20&gt;0,CostoAntesImp!P20+(CostoAntesImp!P20*$C$31/100),0)</f>
        <v>0</v>
      </c>
      <c r="Q20" s="170">
        <f>IF(CostoAntesImp!Q20&gt;0,CostoAntesImp!Q20+(CostoAntesImp!Q20*$C$31/100),0)</f>
        <v>0</v>
      </c>
    </row>
    <row r="21" spans="1:17" ht="20.25" customHeight="1" thickBot="1" x14ac:dyDescent="0.3">
      <c r="A21" s="162">
        <v>19</v>
      </c>
      <c r="B21" s="158" t="s">
        <v>132</v>
      </c>
      <c r="C21" s="170">
        <f>IF(CostoAntesImp!C21&gt;0,CostoAntesImp!C21+(CostoAntesImp!C21*$C$31/100),0)</f>
        <v>66.707666666666668</v>
      </c>
      <c r="D21" s="170">
        <f>IF(CostoAntesImp!D21&gt;0,CostoAntesImp!D21+(CostoAntesImp!D21*$C$31/100),0)</f>
        <v>66.707666666666668</v>
      </c>
      <c r="E21" s="170">
        <f>IF(CostoAntesImp!E21&gt;0,CostoAntesImp!E21+(CostoAntesImp!E21*$C$31/100),0)</f>
        <v>72.35766666666666</v>
      </c>
      <c r="F21" s="170">
        <f>IF(CostoAntesImp!F21&gt;0,CostoAntesImp!F21+(CostoAntesImp!F21*$C$31/100),0)</f>
        <v>78.007666666666665</v>
      </c>
      <c r="G21" s="170">
        <f>IF(CostoAntesImp!G21&gt;0,CostoAntesImp!G21+(CostoAntesImp!G21*$C$31/100),0)</f>
        <v>83.657666666666671</v>
      </c>
      <c r="H21" s="170">
        <f>IF(CostoAntesImp!H21&gt;0,CostoAntesImp!H21+(CostoAntesImp!H21*$C$31/100),0)</f>
        <v>89.307666666666663</v>
      </c>
      <c r="I21" s="170">
        <f>IF(CostoAntesImp!I21&gt;0,CostoAntesImp!I21+(CostoAntesImp!I21*$C$31/100),0)</f>
        <v>94.957666666666668</v>
      </c>
      <c r="J21" s="170">
        <f>IF(CostoAntesImp!J21&gt;0,CostoAntesImp!J21+(CostoAntesImp!J21*$C$31/100),0)</f>
        <v>100.60766666666666</v>
      </c>
      <c r="K21" s="170">
        <f>IF(CostoAntesImp!K21&gt;0,CostoAntesImp!K21+(CostoAntesImp!K21*$C$31/100),0)</f>
        <v>0</v>
      </c>
      <c r="L21" s="170">
        <f>IF(CostoAntesImp!L21&gt;0,CostoAntesImp!L21+(CostoAntesImp!L21*$C$31/100),0)</f>
        <v>111.90766666666667</v>
      </c>
      <c r="M21" s="170">
        <f>IF(CostoAntesImp!M21&gt;0,CostoAntesImp!M21+(CostoAntesImp!M21*$C$31/100),0)</f>
        <v>123.20766666666667</v>
      </c>
      <c r="N21" s="170">
        <f>IF(CostoAntesImp!N21&gt;0,CostoAntesImp!N21+(CostoAntesImp!N21*$C$31/100),0)</f>
        <v>134.50766666666667</v>
      </c>
      <c r="O21" s="170">
        <f>IF(CostoAntesImp!O21&gt;0,CostoAntesImp!O21+(CostoAntesImp!O21*$C$31/100),0)</f>
        <v>145.80766666666668</v>
      </c>
      <c r="P21" s="170">
        <f>IF(CostoAntesImp!P21&gt;0,CostoAntesImp!P21+(CostoAntesImp!P21*$C$31/100),0)</f>
        <v>157.10766666666666</v>
      </c>
      <c r="Q21" s="170">
        <f>IF(CostoAntesImp!Q21&gt;0,CostoAntesImp!Q21+(CostoAntesImp!Q21*$C$31/100),0)</f>
        <v>168.40766666666667</v>
      </c>
    </row>
    <row r="22" spans="1:17" ht="20.25" customHeight="1" thickBot="1" x14ac:dyDescent="0.3">
      <c r="A22" s="163">
        <v>20</v>
      </c>
      <c r="B22" s="160" t="s">
        <v>131</v>
      </c>
      <c r="C22" s="170">
        <f>IF(CostoAntesImp!C22&gt;0,CostoAntesImp!C22+(CostoAntesImp!C22*$C$31/100),0)</f>
        <v>61.057666666666663</v>
      </c>
      <c r="D22" s="170">
        <f>IF(CostoAntesImp!D22&gt;0,CostoAntesImp!D22+(CostoAntesImp!D22*$C$31/100),0)</f>
        <v>61.057666666666663</v>
      </c>
      <c r="E22" s="170">
        <f>IF(CostoAntesImp!E22&gt;0,CostoAntesImp!E22+(CostoAntesImp!E22*$C$31/100),0)</f>
        <v>66.707666666666668</v>
      </c>
      <c r="F22" s="170">
        <f>IF(CostoAntesImp!F22&gt;0,CostoAntesImp!F22+(CostoAntesImp!F22*$C$31/100),0)</f>
        <v>72.35766666666666</v>
      </c>
      <c r="G22" s="170">
        <f>IF(CostoAntesImp!G22&gt;0,CostoAntesImp!G22+(CostoAntesImp!G22*$C$31/100),0)</f>
        <v>78.007666666666665</v>
      </c>
      <c r="H22" s="170">
        <f>IF(CostoAntesImp!H22&gt;0,CostoAntesImp!H22+(CostoAntesImp!H22*$C$31/100),0)</f>
        <v>83.657666666666671</v>
      </c>
      <c r="I22" s="170">
        <f>IF(CostoAntesImp!I22&gt;0,CostoAntesImp!I22+(CostoAntesImp!I22*$C$31/100),0)</f>
        <v>89.307666666666663</v>
      </c>
      <c r="J22" s="170">
        <f>IF(CostoAntesImp!J22&gt;0,CostoAntesImp!J22+(CostoAntesImp!J22*$C$31/100),0)</f>
        <v>94.957666666666668</v>
      </c>
      <c r="K22" s="170">
        <f>IF(CostoAntesImp!K22&gt;0,CostoAntesImp!K22+(CostoAntesImp!K22*$C$31/100),0)</f>
        <v>0</v>
      </c>
      <c r="L22" s="170">
        <f>IF(CostoAntesImp!L22&gt;0,CostoAntesImp!L22+(CostoAntesImp!L22*$C$31/100),0)</f>
        <v>106.25766666666667</v>
      </c>
      <c r="M22" s="170">
        <f>IF(CostoAntesImp!M22&gt;0,CostoAntesImp!M22+(CostoAntesImp!M22*$C$31/100),0)</f>
        <v>117.55766666666666</v>
      </c>
      <c r="N22" s="170">
        <f>IF(CostoAntesImp!N22&gt;0,CostoAntesImp!N22+(CostoAntesImp!N22*$C$31/100),0)</f>
        <v>128.85766666666666</v>
      </c>
      <c r="O22" s="170">
        <f>IF(CostoAntesImp!O22&gt;0,CostoAntesImp!O22+(CostoAntesImp!O22*$C$31/100),0)</f>
        <v>140.15766666666667</v>
      </c>
      <c r="P22" s="170">
        <f>IF(CostoAntesImp!P22&gt;0,CostoAntesImp!P22+(CostoAntesImp!P22*$C$31/100),0)</f>
        <v>151.45766666666665</v>
      </c>
      <c r="Q22" s="170">
        <f>IF(CostoAntesImp!Q22&gt;0,CostoAntesImp!Q22+(CostoAntesImp!Q22*$C$31/100),0)</f>
        <v>162.75766666666667</v>
      </c>
    </row>
    <row r="23" spans="1:17" ht="20.25" customHeight="1" thickBot="1" x14ac:dyDescent="0.3">
      <c r="A23" s="162">
        <v>21</v>
      </c>
      <c r="B23" s="158" t="s">
        <v>129</v>
      </c>
      <c r="C23" s="170">
        <f>IF(CostoAntesImp!C23&gt;0,CostoAntesImp!C23+(CostoAntesImp!C23*$C$31/100),0)</f>
        <v>140.64889195402299</v>
      </c>
      <c r="D23" s="170">
        <f>IF(CostoAntesImp!D23&gt;0,CostoAntesImp!D23+(CostoAntesImp!D23*$C$31/100),0)</f>
        <v>142.80914022988506</v>
      </c>
      <c r="E23" s="170">
        <f>IF(CostoAntesImp!E23&gt;0,CostoAntesImp!E23+(CostoAntesImp!E23*$C$31/100),0)</f>
        <v>144.96938850574713</v>
      </c>
      <c r="F23" s="170">
        <f>IF(CostoAntesImp!F23&gt;0,CostoAntesImp!F23+(CostoAntesImp!F23*$C$31/100),0)</f>
        <v>147.12963678160921</v>
      </c>
      <c r="G23" s="170">
        <f>IF(CostoAntesImp!G23&gt;0,CostoAntesImp!G23+(CostoAntesImp!G23*$C$31/100),0)</f>
        <v>149.28988505747128</v>
      </c>
      <c r="H23" s="170">
        <f>IF(CostoAntesImp!H23&gt;0,CostoAntesImp!H23+(CostoAntesImp!H23*$C$31/100),0)</f>
        <v>157.10013333333333</v>
      </c>
      <c r="I23" s="170">
        <f>IF(CostoAntesImp!I23&gt;0,CostoAntesImp!I23+(CostoAntesImp!I23*$C$31/100),0)</f>
        <v>159.26038160919541</v>
      </c>
      <c r="J23" s="170">
        <f>IF(CostoAntesImp!J23&gt;0,CostoAntesImp!J23+(CostoAntesImp!J23*$C$31/100),0)</f>
        <v>161.42062988505748</v>
      </c>
      <c r="K23" s="170">
        <f>IF(CostoAntesImp!K23&gt;0,CostoAntesImp!K23+(CostoAntesImp!K23*$C$31/100),0)</f>
        <v>0</v>
      </c>
      <c r="L23" s="170">
        <f>IF(CostoAntesImp!L23&gt;0,CostoAntesImp!L23+(CostoAntesImp!L23*$C$31/100),0)</f>
        <v>163.18810574712646</v>
      </c>
      <c r="M23" s="170">
        <f>IF(CostoAntesImp!M23&gt;0,CostoAntesImp!M23+(CostoAntesImp!M23*$C$31/100),0)</f>
        <v>170.60558160919544</v>
      </c>
      <c r="N23" s="170">
        <f>IF(CostoAntesImp!N23&gt;0,CostoAntesImp!N23+(CostoAntesImp!N23*$C$31/100),0)</f>
        <v>172.76582988505749</v>
      </c>
      <c r="O23" s="170">
        <f>IF(CostoAntesImp!O23&gt;0,CostoAntesImp!O23+(CostoAntesImp!O23*$C$31/100),0)</f>
        <v>174.3369195402299</v>
      </c>
      <c r="P23" s="170">
        <f>IF(CostoAntesImp!P23&gt;0,CostoAntesImp!P23+(CostoAntesImp!P23*$C$31/100),0)</f>
        <v>176.10439540229888</v>
      </c>
      <c r="Q23" s="170">
        <f>IF(CostoAntesImp!Q23&gt;0,CostoAntesImp!Q23+(CostoAntesImp!Q23*$C$31/100),0)</f>
        <v>178.06825747126439</v>
      </c>
    </row>
    <row r="24" spans="1:17" ht="20.25" customHeight="1" thickBot="1" x14ac:dyDescent="0.3">
      <c r="A24" s="163">
        <v>22</v>
      </c>
      <c r="B24" s="160" t="s">
        <v>172</v>
      </c>
      <c r="C24" s="170">
        <f>IF(CostoAntesImp!C24&gt;0,CostoAntesImp!C24+(CostoAntesImp!C24*$C$31/100),0)</f>
        <v>140.91858528735634</v>
      </c>
      <c r="D24" s="170">
        <f>IF(CostoAntesImp!D24&gt;0,CostoAntesImp!D24+(CostoAntesImp!D24*$C$31/100),0)</f>
        <v>143.07883356321841</v>
      </c>
      <c r="E24" s="170">
        <f>IF(CostoAntesImp!E24&gt;0,CostoAntesImp!E24+(CostoAntesImp!E24*$C$31/100),0)</f>
        <v>145.23908183908046</v>
      </c>
      <c r="F24" s="170">
        <f>IF(CostoAntesImp!F24&gt;0,CostoAntesImp!F24+(CostoAntesImp!F24*$C$31/100),0)</f>
        <v>147.39933011494253</v>
      </c>
      <c r="G24" s="170">
        <f>IF(CostoAntesImp!G24&gt;0,CostoAntesImp!G24+(CostoAntesImp!G24*$C$31/100),0)</f>
        <v>149.5595783908046</v>
      </c>
      <c r="H24" s="170">
        <f>IF(CostoAntesImp!H24&gt;0,CostoAntesImp!H24+(CostoAntesImp!H24*$C$31/100),0)</f>
        <v>157.36982666666665</v>
      </c>
      <c r="I24" s="170">
        <f>IF(CostoAntesImp!I24&gt;0,CostoAntesImp!I24+(CostoAntesImp!I24*$C$31/100),0)</f>
        <v>159.53007494252873</v>
      </c>
      <c r="J24" s="170">
        <f>IF(CostoAntesImp!J24&gt;0,CostoAntesImp!J24+(CostoAntesImp!J24*$C$31/100),0)</f>
        <v>161.6903232183908</v>
      </c>
      <c r="K24" s="170">
        <f>IF(CostoAntesImp!K24&gt;0,CostoAntesImp!K24+(CostoAntesImp!K24*$C$31/100),0)</f>
        <v>0</v>
      </c>
      <c r="L24" s="170">
        <f>IF(CostoAntesImp!L24&gt;0,CostoAntesImp!L24+(CostoAntesImp!L24*$C$31/100),0)</f>
        <v>163.45779908045978</v>
      </c>
      <c r="M24" s="170">
        <f>IF(CostoAntesImp!M24&gt;0,CostoAntesImp!M24+(CostoAntesImp!M24*$C$31/100),0)</f>
        <v>170.87527494252876</v>
      </c>
      <c r="N24" s="170">
        <f>IF(CostoAntesImp!N24&gt;0,CostoAntesImp!N24+(CostoAntesImp!N24*$C$31/100),0)</f>
        <v>173.03552321839081</v>
      </c>
      <c r="O24" s="170">
        <f>IF(CostoAntesImp!O24&gt;0,CostoAntesImp!O24+(CostoAntesImp!O24*$C$31/100),0)</f>
        <v>174.60661287356322</v>
      </c>
      <c r="P24" s="170">
        <f>IF(CostoAntesImp!P24&gt;0,CostoAntesImp!P24+(CostoAntesImp!P24*$C$31/100),0)</f>
        <v>176.3740887356322</v>
      </c>
      <c r="Q24" s="170">
        <f>IF(CostoAntesImp!Q24&gt;0,CostoAntesImp!Q24+(CostoAntesImp!Q24*$C$31/100),0)</f>
        <v>178.33795080459771</v>
      </c>
    </row>
    <row r="25" spans="1:17" ht="20.25" customHeight="1" thickBot="1" x14ac:dyDescent="0.3">
      <c r="A25" s="162">
        <v>23</v>
      </c>
      <c r="B25" s="158" t="s">
        <v>128</v>
      </c>
      <c r="C25" s="170">
        <f>IF(CostoAntesImp!C25&gt;0,CostoAntesImp!C25+(CostoAntesImp!C25*$C$31/100),0)</f>
        <v>149.3372411494253</v>
      </c>
      <c r="D25" s="170">
        <f>IF(CostoAntesImp!D25&gt;0,CostoAntesImp!D25+(CostoAntesImp!D25*$C$31/100),0)</f>
        <v>151.71351425287358</v>
      </c>
      <c r="E25" s="170">
        <f>IF(CostoAntesImp!E25&gt;0,CostoAntesImp!E25+(CostoAntesImp!E25*$C$31/100),0)</f>
        <v>154.08978735632186</v>
      </c>
      <c r="F25" s="170">
        <f>IF(CostoAntesImp!F25&gt;0,CostoAntesImp!F25+(CostoAntesImp!F25*$C$31/100),0)</f>
        <v>156.46606045977015</v>
      </c>
      <c r="G25" s="170">
        <f>IF(CostoAntesImp!G25&gt;0,CostoAntesImp!G25+(CostoAntesImp!G25*$C$31/100),0)</f>
        <v>158.8423335632184</v>
      </c>
      <c r="H25" s="170">
        <f>IF(CostoAntesImp!H25&gt;0,CostoAntesImp!H25+(CostoAntesImp!H25*$C$31/100),0)</f>
        <v>166.86860666666666</v>
      </c>
      <c r="I25" s="170">
        <f>IF(CostoAntesImp!I25&gt;0,CostoAntesImp!I25+(CostoAntesImp!I25*$C$31/100),0)</f>
        <v>169.24487977011495</v>
      </c>
      <c r="J25" s="170">
        <f>IF(CostoAntesImp!J25&gt;0,CostoAntesImp!J25+(CostoAntesImp!J25*$C$31/100),0)</f>
        <v>171.62115287356323</v>
      </c>
      <c r="K25" s="170">
        <f>IF(CostoAntesImp!K25&gt;0,CostoAntesImp!K25+(CostoAntesImp!K25*$C$31/100),0)</f>
        <v>0</v>
      </c>
      <c r="L25" s="170">
        <f>IF(CostoAntesImp!L25&gt;0,CostoAntesImp!L25+(CostoAntesImp!L25*$C$31/100),0)</f>
        <v>173.5653763218391</v>
      </c>
      <c r="M25" s="170">
        <f>IF(CostoAntesImp!M25&gt;0,CostoAntesImp!M25+(CostoAntesImp!M25*$C$31/100),0)</f>
        <v>181.15959977011497</v>
      </c>
      <c r="N25" s="170">
        <f>IF(CostoAntesImp!N25&gt;0,CostoAntesImp!N25+(CostoAntesImp!N25*$C$31/100),0)</f>
        <v>183.53587287356325</v>
      </c>
      <c r="O25" s="170">
        <f>IF(CostoAntesImp!O25&gt;0,CostoAntesImp!O25+(CostoAntesImp!O25*$C$31/100),0)</f>
        <v>185.26407149425287</v>
      </c>
      <c r="P25" s="170">
        <f>IF(CostoAntesImp!P25&gt;0,CostoAntesImp!P25+(CostoAntesImp!P25*$C$31/100),0)</f>
        <v>187.20829494252877</v>
      </c>
      <c r="Q25" s="170">
        <f>IF(CostoAntesImp!Q25&gt;0,CostoAntesImp!Q25+(CostoAntesImp!Q25*$C$31/100),0)</f>
        <v>189.36854321839081</v>
      </c>
    </row>
    <row r="26" spans="1:17" ht="20.25" customHeight="1" thickBot="1" x14ac:dyDescent="0.3">
      <c r="A26" s="163">
        <v>24</v>
      </c>
      <c r="B26" s="160" t="s">
        <v>130</v>
      </c>
      <c r="C26" s="170">
        <f>IF(CostoAntesImp!C26&gt;0,CostoAntesImp!C26+(CostoAntesImp!C26*$C$31/100),0)</f>
        <v>78.371760459770115</v>
      </c>
      <c r="D26" s="170">
        <f>IF(CostoAntesImp!D26&gt;0,CostoAntesImp!D26+(CostoAntesImp!D26*$C$31/100),0)</f>
        <v>82.692257011494263</v>
      </c>
      <c r="E26" s="170">
        <f>IF(CostoAntesImp!E26&gt;0,CostoAntesImp!E26+(CostoAntesImp!E26*$C$31/100),0)</f>
        <v>87.012753563218396</v>
      </c>
      <c r="F26" s="170">
        <f>IF(CostoAntesImp!F26&gt;0,CostoAntesImp!F26+(CostoAntesImp!F26*$C$31/100),0)</f>
        <v>91.33325011494253</v>
      </c>
      <c r="G26" s="170">
        <f>IF(CostoAntesImp!G26&gt;0,CostoAntesImp!G26+(CostoAntesImp!G26*$C$31/100),0)</f>
        <v>95.653746666666677</v>
      </c>
      <c r="H26" s="170">
        <f>IF(CostoAntesImp!H26&gt;0,CostoAntesImp!H26+(CostoAntesImp!H26*$C$31/100),0)</f>
        <v>102.23424321839082</v>
      </c>
      <c r="I26" s="170">
        <f>IF(CostoAntesImp!I26&gt;0,CostoAntesImp!I26+(CostoAntesImp!I26*$C$31/100),0)</f>
        <v>106.94751218390805</v>
      </c>
      <c r="J26" s="170">
        <f>IF(CostoAntesImp!J26&gt;0,CostoAntesImp!J26+(CostoAntesImp!J26*$C$31/100),0)</f>
        <v>111.85716735632185</v>
      </c>
      <c r="K26" s="170">
        <f>IF(CostoAntesImp!K26&gt;0,CostoAntesImp!K26+(CostoAntesImp!K26*$C$31/100),0)</f>
        <v>0</v>
      </c>
      <c r="L26" s="170">
        <f>IF(CostoAntesImp!L26&gt;0,CostoAntesImp!L26+(CostoAntesImp!L26*$C$31/100),0)</f>
        <v>115.58850528735634</v>
      </c>
      <c r="M26" s="170">
        <f>IF(CostoAntesImp!M26&gt;0,CostoAntesImp!M26+(CostoAntesImp!M26*$C$31/100),0)</f>
        <v>120.40152597701152</v>
      </c>
      <c r="N26" s="170">
        <f>IF(CostoAntesImp!N26&gt;0,CostoAntesImp!N26+(CostoAntesImp!N26*$C$31/100),0)</f>
        <v>122.95454666666667</v>
      </c>
      <c r="O26" s="170">
        <f>IF(CostoAntesImp!O26&gt;0,CostoAntesImp!O26+(CostoAntesImp!O26*$C$31/100),0)</f>
        <v>125.50756735632184</v>
      </c>
      <c r="P26" s="170">
        <f>IF(CostoAntesImp!P26&gt;0,CostoAntesImp!P26+(CostoAntesImp!P26*$C$31/100),0)</f>
        <v>128.84613287356325</v>
      </c>
      <c r="Q26" s="170">
        <f>IF(CostoAntesImp!Q26&gt;0,CostoAntesImp!Q26+(CostoAntesImp!Q26*$C$31/100),0)</f>
        <v>131.79192597701152</v>
      </c>
    </row>
    <row r="27" spans="1:17" ht="20.25" customHeight="1" thickBot="1" x14ac:dyDescent="0.3">
      <c r="A27" s="162">
        <v>25</v>
      </c>
      <c r="B27" s="158" t="s">
        <v>136</v>
      </c>
      <c r="C27" s="170">
        <f>IF(CostoAntesImp!C27&gt;0,CostoAntesImp!C27+(CostoAntesImp!C27*$C$31/100),0)</f>
        <v>32.268295066666667</v>
      </c>
      <c r="D27" s="170">
        <f>IF(CostoAntesImp!D27&gt;0,CostoAntesImp!D27+(CostoAntesImp!D27*$C$31/100),0)</f>
        <v>33.096946666666668</v>
      </c>
      <c r="E27" s="170">
        <f>IF(CostoAntesImp!E27&gt;0,CostoAntesImp!E27+(CostoAntesImp!E27*$C$31/100),0)</f>
        <v>33.925598266666668</v>
      </c>
      <c r="F27" s="170">
        <f>IF(CostoAntesImp!F27&gt;0,CostoAntesImp!F27+(CostoAntesImp!F27*$C$31/100),0)</f>
        <v>35.819659066666667</v>
      </c>
      <c r="G27" s="170">
        <f>IF(CostoAntesImp!G27&gt;0,CostoAntesImp!G27+(CostoAntesImp!G27*$C$31/100),0)</f>
        <v>37.713719866666672</v>
      </c>
      <c r="H27" s="170">
        <f>IF(CostoAntesImp!H27&gt;0,CostoAntesImp!H27+(CostoAntesImp!H27*$C$31/100),0)</f>
        <v>38.305613866666675</v>
      </c>
      <c r="I27" s="170">
        <f>IF(CostoAntesImp!I27&gt;0,CostoAntesImp!I27+(CostoAntesImp!I27*$C$31/100),0)</f>
        <v>38.897507866666665</v>
      </c>
      <c r="J27" s="170">
        <f>IF(CostoAntesImp!J27&gt;0,CostoAntesImp!J27+(CostoAntesImp!J27*$C$31/100),0)</f>
        <v>39.726159466666672</v>
      </c>
      <c r="K27" s="170">
        <f>IF(CostoAntesImp!K27&gt;0,CostoAntesImp!K27+(CostoAntesImp!K27*$C$31/100),0)</f>
        <v>0</v>
      </c>
      <c r="L27" s="170">
        <f>IF(CostoAntesImp!L27&gt;0,CostoAntesImp!L27+(CostoAntesImp!L27*$C$31/100),0)</f>
        <v>0</v>
      </c>
      <c r="M27" s="170">
        <f>IF(CostoAntesImp!M27&gt;0,CostoAntesImp!M27+(CostoAntesImp!M27*$C$31/100),0)</f>
        <v>0</v>
      </c>
      <c r="N27" s="170">
        <f>IF(CostoAntesImp!N27&gt;0,CostoAntesImp!N27+(CostoAntesImp!N27*$C$31/100),0)</f>
        <v>0</v>
      </c>
      <c r="O27" s="170">
        <f>IF(CostoAntesImp!O27&gt;0,CostoAntesImp!O27+(CostoAntesImp!O27*$C$31/100),0)</f>
        <v>0</v>
      </c>
      <c r="P27" s="170">
        <f>IF(CostoAntesImp!P27&gt;0,CostoAntesImp!P27+(CostoAntesImp!P27*$C$31/100),0)</f>
        <v>0</v>
      </c>
      <c r="Q27" s="170">
        <f>IF(CostoAntesImp!Q27&gt;0,CostoAntesImp!Q27+(CostoAntesImp!Q27*$C$31/100),0)</f>
        <v>0</v>
      </c>
    </row>
    <row r="28" spans="1:17" ht="20.25" customHeight="1" thickBot="1" x14ac:dyDescent="0.3">
      <c r="A28" s="163">
        <v>26</v>
      </c>
      <c r="B28" s="160" t="s">
        <v>137</v>
      </c>
      <c r="C28" s="170">
        <f>IF(CostoAntesImp!C28&gt;0,CostoAntesImp!C28+(CostoAntesImp!C28*$C$31/100),0)</f>
        <v>35.464522666666667</v>
      </c>
      <c r="D28" s="170">
        <f>IF(CostoAntesImp!D28&gt;0,CostoAntesImp!D28+(CostoAntesImp!D28*$C$31/100),0)</f>
        <v>0</v>
      </c>
      <c r="E28" s="170">
        <f>IF(CostoAntesImp!E28&gt;0,CostoAntesImp!E28+(CostoAntesImp!E28*$C$31/100),0)</f>
        <v>0</v>
      </c>
      <c r="F28" s="170">
        <f>IF(CostoAntesImp!F28&gt;0,CostoAntesImp!F28+(CostoAntesImp!F28*$C$31/100),0)</f>
        <v>0</v>
      </c>
      <c r="G28" s="170">
        <f>IF(CostoAntesImp!G28&gt;0,CostoAntesImp!G28+(CostoAntesImp!G28*$C$31/100),0)</f>
        <v>0</v>
      </c>
      <c r="H28" s="170">
        <f>IF(CostoAntesImp!H28&gt;0,CostoAntesImp!H28+(CostoAntesImp!H28*$C$31/100),0)</f>
        <v>0</v>
      </c>
      <c r="I28" s="170">
        <f>IF(CostoAntesImp!I28&gt;0,CostoAntesImp!I28+(CostoAntesImp!I28*$C$31/100),0)</f>
        <v>0</v>
      </c>
      <c r="J28" s="170">
        <f>IF(CostoAntesImp!J28&gt;0,CostoAntesImp!J28+(CostoAntesImp!J28*$C$31/100),0)</f>
        <v>0</v>
      </c>
      <c r="K28" s="170">
        <f>IF(CostoAntesImp!K28&gt;0,CostoAntesImp!K28+(CostoAntesImp!K28*$C$31/100),0)</f>
        <v>0</v>
      </c>
      <c r="L28" s="170">
        <f>IF(CostoAntesImp!L28&gt;0,CostoAntesImp!L28+(CostoAntesImp!L28*$C$31/100),0)</f>
        <v>0</v>
      </c>
      <c r="M28" s="170">
        <f>IF(CostoAntesImp!M28&gt;0,CostoAntesImp!M28+(CostoAntesImp!M28*$C$31/100),0)</f>
        <v>0</v>
      </c>
      <c r="N28" s="170">
        <f>IF(CostoAntesImp!N28&gt;0,CostoAntesImp!N28+(CostoAntesImp!N28*$C$31/100),0)</f>
        <v>0</v>
      </c>
      <c r="O28" s="170">
        <f>IF(CostoAntesImp!O28&gt;0,CostoAntesImp!O28+(CostoAntesImp!O28*$C$31/100),0)</f>
        <v>0</v>
      </c>
      <c r="P28" s="170">
        <f>IF(CostoAntesImp!P28&gt;0,CostoAntesImp!P28+(CostoAntesImp!P28*$C$31/100),0)</f>
        <v>0</v>
      </c>
      <c r="Q28" s="170">
        <f>IF(CostoAntesImp!Q28&gt;0,CostoAntesImp!Q28+(CostoAntesImp!Q28*$C$31/100),0)</f>
        <v>0</v>
      </c>
    </row>
    <row r="29" spans="1:17" ht="20.25" customHeight="1" thickBot="1" x14ac:dyDescent="0.3">
      <c r="A29" s="162">
        <v>27</v>
      </c>
      <c r="B29" s="158" t="s">
        <v>125</v>
      </c>
      <c r="C29" s="170">
        <f>IF(CostoAntesImp!C29&gt;0,CostoAntesImp!C29+(CostoAntesImp!C29*$C$31/100),0)</f>
        <v>204.97901340139362</v>
      </c>
      <c r="D29" s="170">
        <f>IF(CostoAntesImp!D29&gt;0,CostoAntesImp!D29+(CostoAntesImp!D29*$C$31/100),0)</f>
        <v>208.68708340625506</v>
      </c>
      <c r="E29" s="170">
        <f>IF(CostoAntesImp!E29&gt;0,CostoAntesImp!E29+(CostoAntesImp!E29*$C$31/100),0)</f>
        <v>212.39515341111652</v>
      </c>
      <c r="F29" s="170">
        <f>IF(CostoAntesImp!F29&gt;0,CostoAntesImp!F29+(CostoAntesImp!F29*$C$31/100),0)</f>
        <v>216.10322341597796</v>
      </c>
      <c r="G29" s="170">
        <f>IF(CostoAntesImp!G29&gt;0,CostoAntesImp!G29+(CostoAntesImp!G29*$C$31/100),0)</f>
        <v>219.81129342083943</v>
      </c>
      <c r="H29" s="170">
        <f>IF(CostoAntesImp!H29&gt;0,CostoAntesImp!H29+(CostoAntesImp!H29*$C$31/100),0)</f>
        <v>246.11936342570084</v>
      </c>
      <c r="I29" s="170">
        <f>IF(CostoAntesImp!I29&gt;0,CostoAntesImp!I29+(CostoAntesImp!I29*$C$31/100),0)</f>
        <v>249.82743343056231</v>
      </c>
      <c r="J29" s="170">
        <f>IF(CostoAntesImp!J29&gt;0,CostoAntesImp!J29+(CostoAntesImp!J29*$C$31/100),0)</f>
        <v>253.53550343542375</v>
      </c>
      <c r="K29" s="170">
        <f>IF(CostoAntesImp!K29&gt;0,CostoAntesImp!K29+(CostoAntesImp!K29*$C$31/100),0)</f>
        <v>0</v>
      </c>
      <c r="L29" s="170">
        <f>IF(CostoAntesImp!L29&gt;0,CostoAntesImp!L29+(CostoAntesImp!L29*$C$31/100),0)</f>
        <v>257.24357344028522</v>
      </c>
      <c r="M29" s="170">
        <f>IF(CostoAntesImp!M29&gt;0,CostoAntesImp!M29+(CostoAntesImp!M29*$C$31/100),0)</f>
        <v>294.85164344514664</v>
      </c>
      <c r="N29" s="170">
        <f>IF(CostoAntesImp!N29&gt;0,CostoAntesImp!N29+(CostoAntesImp!N29*$C$31/100),0)</f>
        <v>298.55971345000808</v>
      </c>
      <c r="O29" s="170">
        <f>IF(CostoAntesImp!O29&gt;0,CostoAntesImp!O29+(CostoAntesImp!O29*$C$31/100),0)</f>
        <v>302.26778345486952</v>
      </c>
      <c r="P29" s="170">
        <f>IF(CostoAntesImp!P29&gt;0,CostoAntesImp!P29+(CostoAntesImp!P29*$C$31/100),0)</f>
        <v>305.97585345973096</v>
      </c>
      <c r="Q29" s="170">
        <f>IF(CostoAntesImp!Q29&gt;0,CostoAntesImp!Q29+(CostoAntesImp!Q29*$C$31/100),0)</f>
        <v>309.68392346459245</v>
      </c>
    </row>
    <row r="30" spans="1:17" ht="20.25" customHeight="1" thickBot="1" x14ac:dyDescent="0.3">
      <c r="A30" s="163"/>
      <c r="B30" s="160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</row>
    <row r="31" spans="1:17" x14ac:dyDescent="0.25">
      <c r="B31" s="1" t="s">
        <v>159</v>
      </c>
      <c r="C31" s="164">
        <v>13</v>
      </c>
    </row>
  </sheetData>
  <conditionalFormatting sqref="C3:Q29 R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14C-16E2-4690-953B-6E234552B60B}">
  <sheetPr codeName="Hoja11">
    <tabColor rgb="FF00B050"/>
    <pageSetUpPr fitToPage="1"/>
  </sheetPr>
  <dimension ref="A1:R31"/>
  <sheetViews>
    <sheetView topLeftCell="A7" zoomScale="80" zoomScaleNormal="80" workbookViewId="0">
      <selection activeCell="G26" sqref="G26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7" width="9.7109375" style="161" customWidth="1"/>
    <col min="18" max="16384" width="11.42578125" style="1"/>
  </cols>
  <sheetData>
    <row r="1" spans="1:18" ht="20.25" customHeight="1" thickBot="1" x14ac:dyDescent="0.3">
      <c r="A1" s="165" t="s">
        <v>157</v>
      </c>
      <c r="B1" s="165"/>
      <c r="C1" s="165" t="s">
        <v>165</v>
      </c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62">
        <v>1</v>
      </c>
      <c r="B3" s="158" t="s">
        <v>1</v>
      </c>
      <c r="C3" s="170">
        <f>IF(PrecioDeVenta!C3&gt;0,PrecioDeVenta!C3-CostoTotal!C3,0)</f>
        <v>0</v>
      </c>
      <c r="D3" s="170">
        <f>IF(PrecioDeVenta!D3&gt;0,PrecioDeVenta!D3-CostoTotal!D3,0)</f>
        <v>0</v>
      </c>
      <c r="E3" s="170">
        <f>IF(PrecioDeVenta!E3&gt;0,PrecioDeVenta!E3-CostoTotal!E3,0)</f>
        <v>0</v>
      </c>
      <c r="F3" s="170">
        <f>IF(PrecioDeVenta!F3&gt;0,PrecioDeVenta!F3-CostoTotal!F3,0)</f>
        <v>0</v>
      </c>
      <c r="G3" s="170">
        <f>IF(PrecioDeVenta!G3&gt;0,PrecioDeVenta!G3-CostoTotal!G3,0)</f>
        <v>0</v>
      </c>
      <c r="H3" s="170">
        <f>IF(PrecioDeVenta!H3&gt;0,PrecioDeVenta!H3-CostoTotal!H3,0)</f>
        <v>0</v>
      </c>
      <c r="I3" s="170">
        <f>IF(PrecioDeVenta!I3&gt;0,PrecioDeVenta!I3-CostoTotal!I3,0)</f>
        <v>0</v>
      </c>
      <c r="J3" s="170">
        <f>IF(PrecioDeVenta!J3&gt;0,PrecioDeVenta!J3-CostoTotal!J3,0)</f>
        <v>59.475761788617874</v>
      </c>
      <c r="K3" s="170">
        <f>IF(PrecioDeVenta!K3&gt;0,PrecioDeVenta!K3-CostoTotal!K3,0)</f>
        <v>66.697615447154462</v>
      </c>
      <c r="L3" s="170">
        <f>IF(PrecioDeVenta!L3&gt;0,PrecioDeVenta!L3-CostoTotal!L3,0)</f>
        <v>59.658542276422736</v>
      </c>
      <c r="M3" s="170">
        <f>IF(PrecioDeVenta!M3&gt;0,PrecioDeVenta!M3-CostoTotal!M3,0)</f>
        <v>67.574932520325177</v>
      </c>
      <c r="N3" s="170">
        <f>IF(PrecioDeVenta!N3&gt;0,PrecioDeVenta!N3-CostoTotal!N3,0)</f>
        <v>75.491322764227618</v>
      </c>
      <c r="O3" s="170">
        <f>IF(PrecioDeVenta!O3&gt;0,PrecioDeVenta!O3-CostoTotal!O3,0)</f>
        <v>74.102249593495941</v>
      </c>
      <c r="P3" s="170">
        <f>IF(PrecioDeVenta!P3&gt;0,PrecioDeVenta!P3-CostoTotal!P3,0)</f>
        <v>91.601917886178853</v>
      </c>
      <c r="Q3" s="170">
        <f>IF(PrecioDeVenta!Q3&gt;0,PrecioDeVenta!Q3-CostoTotal!Q3,0)</f>
        <v>100.07393739837397</v>
      </c>
      <c r="R3" s="170">
        <f>IF(PrecioDeVenta!R3&gt;0,PrecioDeVenta!R3-CostoTotal!R3,0)</f>
        <v>107.85142032520326</v>
      </c>
    </row>
    <row r="4" spans="1:18" ht="20.25" customHeight="1" thickBot="1" x14ac:dyDescent="0.3">
      <c r="A4" s="163">
        <v>2</v>
      </c>
      <c r="B4" s="160" t="s">
        <v>2</v>
      </c>
      <c r="C4" s="170">
        <f>IF(PrecioDeVenta!C4&gt;0,PrecioDeVenta!C4-CostoTotal!C4,0)</f>
        <v>27.547166666666669</v>
      </c>
      <c r="D4" s="170">
        <f>IF(PrecioDeVenta!D4&gt;0,PrecioDeVenta!D4-CostoTotal!D4,0)</f>
        <v>26.287166666666671</v>
      </c>
      <c r="E4" s="170">
        <f>IF(PrecioDeVenta!E4&gt;0,PrecioDeVenta!E4-CostoTotal!E4,0)</f>
        <v>30.027166666666673</v>
      </c>
      <c r="F4" s="170">
        <f>IF(PrecioDeVenta!F4&gt;0,PrecioDeVenta!F4-CostoTotal!F4,0)</f>
        <v>33.767166666666668</v>
      </c>
      <c r="G4" s="170">
        <f>IF(PrecioDeVenta!G4&gt;0,PrecioDeVenta!G4-CostoTotal!G4,0)</f>
        <v>37.507166666666663</v>
      </c>
      <c r="H4" s="170">
        <f>IF(PrecioDeVenta!H4&gt;0,PrecioDeVenta!H4-CostoTotal!H4,0)</f>
        <v>37.857166666666672</v>
      </c>
      <c r="I4" s="170">
        <f>IF(PrecioDeVenta!I4&gt;0,PrecioDeVenta!I4-CostoTotal!I4,0)</f>
        <v>41.597166666666666</v>
      </c>
      <c r="J4" s="170">
        <f>IF(PrecioDeVenta!J4&gt;0,PrecioDeVenta!J4-CostoTotal!J4,0)</f>
        <v>45.337166666666661</v>
      </c>
      <c r="K4" s="170">
        <f>IF(PrecioDeVenta!K4&gt;0,PrecioDeVenta!K4-CostoTotal!K4,0)</f>
        <v>0</v>
      </c>
      <c r="L4" s="170">
        <f>IF(PrecioDeVenta!L4&gt;0,PrecioDeVenta!L4-CostoTotal!L4,0)</f>
        <v>54.07716666666667</v>
      </c>
      <c r="M4" s="170">
        <f>IF(PrecioDeVenta!M4&gt;0,PrecioDeVenta!M4-CostoTotal!M4,0)</f>
        <v>48.297166666666669</v>
      </c>
      <c r="N4" s="170">
        <f>IF(PrecioDeVenta!N4&gt;0,PrecioDeVenta!N4-CostoTotal!N4,0)</f>
        <v>52.037166666666678</v>
      </c>
      <c r="O4" s="170">
        <f>IF(PrecioDeVenta!O4&gt;0,PrecioDeVenta!O4-CostoTotal!O4,0)</f>
        <v>55.777166666666659</v>
      </c>
      <c r="P4" s="170">
        <f>IF(PrecioDeVenta!P4&gt;0,PrecioDeVenta!P4-CostoTotal!P4,0)</f>
        <v>59.157166666666669</v>
      </c>
      <c r="Q4" s="170">
        <f>IF(PrecioDeVenta!Q4&gt;0,PrecioDeVenta!Q4-CostoTotal!Q4,0)</f>
        <v>72.717166666666671</v>
      </c>
      <c r="R4" s="170">
        <f>IF(PrecioDeVenta!R4&gt;0,PrecioDeVenta!R4-CostoTotal!R4,0)</f>
        <v>0</v>
      </c>
    </row>
    <row r="5" spans="1:18" ht="20.25" customHeight="1" thickBot="1" x14ac:dyDescent="0.3">
      <c r="A5" s="162">
        <v>3</v>
      </c>
      <c r="B5" s="158" t="s">
        <v>138</v>
      </c>
      <c r="C5" s="170">
        <f>IF(PrecioDeVenta!C5&gt;0,PrecioDeVenta!C5-CostoTotal!C5,0)</f>
        <v>31.649033333333335</v>
      </c>
      <c r="D5" s="170">
        <f>IF(PrecioDeVenta!D5&gt;0,PrecioDeVenta!D5-CostoTotal!D5,0)</f>
        <v>30.389033333333344</v>
      </c>
      <c r="E5" s="170">
        <f>IF(PrecioDeVenta!E5&gt;0,PrecioDeVenta!E5-CostoTotal!E5,0)</f>
        <v>34.129033333333325</v>
      </c>
      <c r="F5" s="170">
        <f>IF(PrecioDeVenta!F5&gt;0,PrecioDeVenta!F5-CostoTotal!F5,0)</f>
        <v>37.869033333333334</v>
      </c>
      <c r="G5" s="170">
        <f>IF(PrecioDeVenta!G5&gt;0,PrecioDeVenta!G5-CostoTotal!G5,0)</f>
        <v>41.609033333333315</v>
      </c>
      <c r="H5" s="170">
        <f>IF(PrecioDeVenta!H5&gt;0,PrecioDeVenta!H5-CostoTotal!H5,0)</f>
        <v>41.959033333333323</v>
      </c>
      <c r="I5" s="170">
        <f>IF(PrecioDeVenta!I5&gt;0,PrecioDeVenta!I5-CostoTotal!I5,0)</f>
        <v>50.699033333333333</v>
      </c>
      <c r="J5" s="170">
        <f>IF(PrecioDeVenta!J5&gt;0,PrecioDeVenta!J5-CostoTotal!J5,0)</f>
        <v>64.439033333333327</v>
      </c>
      <c r="K5" s="170">
        <f>IF(PrecioDeVenta!K5&gt;0,PrecioDeVenta!K5-CostoTotal!K5,0)</f>
        <v>0</v>
      </c>
      <c r="L5" s="170">
        <f>IF(PrecioDeVenta!L5&gt;0,PrecioDeVenta!L5-CostoTotal!L5,0)</f>
        <v>63.179033333333336</v>
      </c>
      <c r="M5" s="170">
        <f>IF(PrecioDeVenta!M5&gt;0,PrecioDeVenta!M5-CostoTotal!M5,0)</f>
        <v>0</v>
      </c>
      <c r="N5" s="170">
        <f>IF(PrecioDeVenta!N5&gt;0,PrecioDeVenta!N5-CostoTotal!N5,0)</f>
        <v>0</v>
      </c>
      <c r="O5" s="170">
        <f>IF(PrecioDeVenta!O5&gt;0,PrecioDeVenta!O5-CostoTotal!O5,0)</f>
        <v>0</v>
      </c>
      <c r="P5" s="170">
        <f>IF(PrecioDeVenta!P5&gt;0,PrecioDeVenta!P5-CostoTotal!P5,0)</f>
        <v>0</v>
      </c>
      <c r="Q5" s="170">
        <f>IF(PrecioDeVenta!Q5&gt;0,PrecioDeVenta!Q5-CostoTotal!Q5,0)</f>
        <v>0</v>
      </c>
      <c r="R5" s="170">
        <f>IF(PrecioDeVenta!R5&gt;0,PrecioDeVenta!R5-CostoTotal!R5,0)</f>
        <v>0</v>
      </c>
    </row>
    <row r="6" spans="1:18" ht="20.25" customHeight="1" thickBot="1" x14ac:dyDescent="0.3">
      <c r="A6" s="163">
        <v>4</v>
      </c>
      <c r="B6" s="160" t="s">
        <v>3</v>
      </c>
      <c r="C6" s="170">
        <f>IF(PrecioDeVenta!C6&gt;0,PrecioDeVenta!C6-CostoTotal!C6,0)</f>
        <v>0</v>
      </c>
      <c r="D6" s="170">
        <f>IF(PrecioDeVenta!D6&gt;0,PrecioDeVenta!D6-CostoTotal!D6,0)</f>
        <v>0</v>
      </c>
      <c r="E6" s="170">
        <f>IF(PrecioDeVenta!E6&gt;0,PrecioDeVenta!E6-CostoTotal!E6,0)</f>
        <v>0</v>
      </c>
      <c r="F6" s="170">
        <f>IF(PrecioDeVenta!F6&gt;0,PrecioDeVenta!F6-CostoTotal!F6,0)</f>
        <v>0</v>
      </c>
      <c r="G6" s="170">
        <f>IF(PrecioDeVenta!G6&gt;0,PrecioDeVenta!G6-CostoTotal!G6,0)</f>
        <v>0</v>
      </c>
      <c r="H6" s="170">
        <f>IF(PrecioDeVenta!H6&gt;0,PrecioDeVenta!H6-CostoTotal!H6,0)</f>
        <v>0</v>
      </c>
      <c r="I6" s="170">
        <f>IF(PrecioDeVenta!I6&gt;0,PrecioDeVenta!I6-CostoTotal!I6,0)</f>
        <v>0</v>
      </c>
      <c r="J6" s="170">
        <f>IF(PrecioDeVenta!J6&gt;0,PrecioDeVenta!J6-CostoTotal!J6,0)</f>
        <v>0</v>
      </c>
      <c r="K6" s="170">
        <f>IF(PrecioDeVenta!K6&gt;0,PrecioDeVenta!K6-CostoTotal!K6,0)</f>
        <v>33.646684313725487</v>
      </c>
      <c r="L6" s="170">
        <f>IF(PrecioDeVenta!L6&gt;0,PrecioDeVenta!L6-CostoTotal!L6,0)</f>
        <v>0</v>
      </c>
      <c r="M6" s="170">
        <f>IF(PrecioDeVenta!M6&gt;0,PrecioDeVenta!M6-CostoTotal!M6,0)</f>
        <v>0</v>
      </c>
      <c r="N6" s="170">
        <f>IF(PrecioDeVenta!N6&gt;0,PrecioDeVenta!N6-CostoTotal!N6,0)</f>
        <v>0</v>
      </c>
      <c r="O6" s="170">
        <f>IF(PrecioDeVenta!O6&gt;0,PrecioDeVenta!O6-CostoTotal!O6,0)</f>
        <v>0</v>
      </c>
      <c r="P6" s="170">
        <f>IF(PrecioDeVenta!P6&gt;0,PrecioDeVenta!P6-CostoTotal!P6,0)</f>
        <v>0</v>
      </c>
      <c r="Q6" s="170">
        <f>IF(PrecioDeVenta!Q6&gt;0,PrecioDeVenta!Q6-CostoTotal!Q6,0)</f>
        <v>0</v>
      </c>
      <c r="R6" s="170">
        <f>IF(PrecioDeVenta!R6&gt;0,PrecioDeVenta!R6-CostoTotal!R6,0)</f>
        <v>0</v>
      </c>
    </row>
    <row r="7" spans="1:18" ht="20.25" customHeight="1" thickBot="1" x14ac:dyDescent="0.3">
      <c r="A7" s="162">
        <v>5</v>
      </c>
      <c r="B7" s="158" t="s">
        <v>5</v>
      </c>
      <c r="C7" s="170">
        <f>IF(PrecioDeVenta!C7&gt;0,PrecioDeVenta!C7-CostoTotal!C7,0)</f>
        <v>42.456495528455285</v>
      </c>
      <c r="D7" s="170">
        <f>IF(PrecioDeVenta!D7&gt;0,PrecioDeVenta!D7-CostoTotal!D7,0)</f>
        <v>39.539441869918697</v>
      </c>
      <c r="E7" s="170">
        <f>IF(PrecioDeVenta!E7&gt;0,PrecioDeVenta!E7-CostoTotal!E7,0)</f>
        <v>41.622388211382116</v>
      </c>
      <c r="F7" s="170">
        <f>IF(PrecioDeVenta!F7&gt;0,PrecioDeVenta!F7-CostoTotal!F7,0)</f>
        <v>43.566427235772366</v>
      </c>
      <c r="G7" s="170">
        <f>IF(PrecioDeVenta!G7&gt;0,PrecioDeVenta!G7-CostoTotal!G7,0)</f>
        <v>45.649373577235764</v>
      </c>
      <c r="H7" s="170">
        <f>IF(PrecioDeVenta!H7&gt;0,PrecioDeVenta!H7-CostoTotal!H7,0)</f>
        <v>54.75904186991869</v>
      </c>
      <c r="I7" s="170">
        <f>IF(PrecioDeVenta!I7&gt;0,PrecioDeVenta!I7-CostoTotal!I7,0)</f>
        <v>82.258710162601631</v>
      </c>
      <c r="J7" s="170">
        <f>IF(PrecioDeVenta!J7&gt;0,PrecioDeVenta!J7-CostoTotal!J7,0)</f>
        <v>99.758378455284543</v>
      </c>
      <c r="K7" s="170">
        <f>IF(PrecioDeVenta!K7&gt;0,PrecioDeVenta!K7-CostoTotal!K7,0)</f>
        <v>0</v>
      </c>
      <c r="L7" s="170">
        <f>IF(PrecioDeVenta!L7&gt;0,PrecioDeVenta!L7-CostoTotal!L7,0)</f>
        <v>93.015861382113812</v>
      </c>
      <c r="M7" s="170">
        <f>IF(PrecioDeVenta!M7&gt;0,PrecioDeVenta!M7-CostoTotal!M7,0)</f>
        <v>0</v>
      </c>
      <c r="N7" s="170">
        <f>IF(PrecioDeVenta!N7&gt;0,PrecioDeVenta!N7-CostoTotal!N7,0)</f>
        <v>0</v>
      </c>
      <c r="O7" s="170">
        <f>IF(PrecioDeVenta!O7&gt;0,PrecioDeVenta!O7-CostoTotal!O7,0)</f>
        <v>0</v>
      </c>
      <c r="P7" s="170">
        <f>IF(PrecioDeVenta!P7&gt;0,PrecioDeVenta!P7-CostoTotal!P7,0)</f>
        <v>0</v>
      </c>
      <c r="Q7" s="170">
        <f>IF(PrecioDeVenta!Q7&gt;0,PrecioDeVenta!Q7-CostoTotal!Q7,0)</f>
        <v>0</v>
      </c>
      <c r="R7" s="170">
        <f>IF(PrecioDeVenta!R7&gt;0,PrecioDeVenta!R7-CostoTotal!R7,0)</f>
        <v>0</v>
      </c>
    </row>
    <row r="8" spans="1:18" ht="20.25" customHeight="1" thickBot="1" x14ac:dyDescent="0.3">
      <c r="A8" s="163">
        <v>6</v>
      </c>
      <c r="B8" s="160" t="s">
        <v>6</v>
      </c>
      <c r="C8" s="170">
        <f>IF(PrecioDeVenta!C8&gt;0,PrecioDeVenta!C8-CostoTotal!C8,0)</f>
        <v>44.354226829268285</v>
      </c>
      <c r="D8" s="170">
        <f>IF(PrecioDeVenta!D8&gt;0,PrecioDeVenta!D8-CostoTotal!D8,0)</f>
        <v>43.242968292682932</v>
      </c>
      <c r="E8" s="170">
        <f>IF(PrecioDeVenta!E8&gt;0,PrecioDeVenta!E8-CostoTotal!E8,0)</f>
        <v>46.714987804878049</v>
      </c>
      <c r="F8" s="170">
        <f>IF(PrecioDeVenta!F8&gt;0,PrecioDeVenta!F8-CostoTotal!F8,0)</f>
        <v>49.909192682926829</v>
      </c>
      <c r="G8" s="170">
        <f>IF(PrecioDeVenta!G8&gt;0,PrecioDeVenta!G8-CostoTotal!G8,0)</f>
        <v>52.408860975609755</v>
      </c>
      <c r="H8" s="170">
        <f>IF(PrecioDeVenta!H8&gt;0,PrecioDeVenta!H8-CostoTotal!H8,0)</f>
        <v>61.657436585365843</v>
      </c>
      <c r="I8" s="170">
        <f>IF(PrecioDeVenta!I8&gt;0,PrecioDeVenta!I8-CostoTotal!I8,0)</f>
        <v>85.823992682926828</v>
      </c>
      <c r="J8" s="170">
        <f>IF(PrecioDeVenta!J8&gt;0,PrecioDeVenta!J8-CostoTotal!J8,0)</f>
        <v>104.01819756097561</v>
      </c>
      <c r="K8" s="170">
        <f>IF(PrecioDeVenta!K8&gt;0,PrecioDeVenta!K8-CostoTotal!K8,0)</f>
        <v>0</v>
      </c>
      <c r="L8" s="170">
        <f>IF(PrecioDeVenta!L8&gt;0,PrecioDeVenta!L8-CostoTotal!L8,0)</f>
        <v>0</v>
      </c>
      <c r="M8" s="170">
        <f>IF(PrecioDeVenta!M8&gt;0,PrecioDeVenta!M8-CostoTotal!M8,0)</f>
        <v>0</v>
      </c>
      <c r="N8" s="170">
        <f>IF(PrecioDeVenta!N8&gt;0,PrecioDeVenta!N8-CostoTotal!N8,0)</f>
        <v>0</v>
      </c>
      <c r="O8" s="170">
        <f>IF(PrecioDeVenta!O8&gt;0,PrecioDeVenta!O8-CostoTotal!O8,0)</f>
        <v>0</v>
      </c>
      <c r="P8" s="170">
        <f>IF(PrecioDeVenta!P8&gt;0,PrecioDeVenta!P8-CostoTotal!P8,0)</f>
        <v>0</v>
      </c>
      <c r="Q8" s="170">
        <f>IF(PrecioDeVenta!Q8&gt;0,PrecioDeVenta!Q8-CostoTotal!Q8,0)</f>
        <v>0</v>
      </c>
      <c r="R8" s="170">
        <f>IF(PrecioDeVenta!R8&gt;0,PrecioDeVenta!R8-CostoTotal!R8,0)</f>
        <v>0</v>
      </c>
    </row>
    <row r="9" spans="1:18" ht="20.25" customHeight="1" thickBot="1" x14ac:dyDescent="0.3">
      <c r="A9" s="162">
        <v>7</v>
      </c>
      <c r="B9" s="158" t="s">
        <v>7</v>
      </c>
      <c r="C9" s="170">
        <f>IF(PrecioDeVenta!C9&gt;0,PrecioDeVenta!C9-CostoTotal!C9,0)</f>
        <v>24.171704933333331</v>
      </c>
      <c r="D9" s="170">
        <f>IF(PrecioDeVenta!D9&gt;0,PrecioDeVenta!D9-CostoTotal!D9,0)</f>
        <v>23.343053333333337</v>
      </c>
      <c r="E9" s="170">
        <f>IF(PrecioDeVenta!E9&gt;0,PrecioDeVenta!E9-CostoTotal!E9,0)</f>
        <v>22.514401733333337</v>
      </c>
      <c r="F9" s="170">
        <f>IF(PrecioDeVenta!F9&gt;0,PrecioDeVenta!F9-CostoTotal!F9,0)</f>
        <v>30.620340933333331</v>
      </c>
      <c r="G9" s="170">
        <f>IF(PrecioDeVenta!G9&gt;0,PrecioDeVenta!G9-CostoTotal!G9,0)</f>
        <v>28.726280133333333</v>
      </c>
      <c r="H9" s="170">
        <f>IF(PrecioDeVenta!H9&gt;0,PrecioDeVenta!H9-CostoTotal!H9,0)</f>
        <v>28.134386133333336</v>
      </c>
      <c r="I9" s="170">
        <f>IF(PrecioDeVenta!I9&gt;0,PrecioDeVenta!I9-CostoTotal!I9,0)</f>
        <v>37.542492133333333</v>
      </c>
      <c r="J9" s="170">
        <f>IF(PrecioDeVenta!J9&gt;0,PrecioDeVenta!J9-CostoTotal!J9,0)</f>
        <v>36.713840533333332</v>
      </c>
      <c r="K9" s="170">
        <f>IF(PrecioDeVenta!K9&gt;0,PrecioDeVenta!K9-CostoTotal!K9,0)</f>
        <v>0</v>
      </c>
      <c r="L9" s="170">
        <f>IF(PrecioDeVenta!L9&gt;0,PrecioDeVenta!L9-CostoTotal!L9,0)</f>
        <v>45.885188933333325</v>
      </c>
      <c r="M9" s="170">
        <f>IF(PrecioDeVenta!M9&gt;0,PrecioDeVenta!M9-CostoTotal!M9,0)</f>
        <v>45.056537333333331</v>
      </c>
      <c r="N9" s="170">
        <f>IF(PrecioDeVenta!N9&gt;0,PrecioDeVenta!N9-CostoTotal!N9,0)</f>
        <v>44.227885733333331</v>
      </c>
      <c r="O9" s="170">
        <f>IF(PrecioDeVenta!O9&gt;0,PrecioDeVenta!O9-CostoTotal!O9,0)</f>
        <v>48.162476533333326</v>
      </c>
      <c r="P9" s="170">
        <f>IF(PrecioDeVenta!P9&gt;0,PrecioDeVenta!P9-CostoTotal!P9,0)</f>
        <v>47.097067333333328</v>
      </c>
      <c r="Q9" s="170">
        <f>IF(PrecioDeVenta!Q9&gt;0,PrecioDeVenta!Q9-CostoTotal!Q9,0)</f>
        <v>44.847870133333331</v>
      </c>
      <c r="R9" s="170">
        <f>IF(PrecioDeVenta!R9&gt;0,PrecioDeVenta!R9-CostoTotal!R9,0)</f>
        <v>0</v>
      </c>
    </row>
    <row r="10" spans="1:18" ht="20.25" customHeight="1" thickBot="1" x14ac:dyDescent="0.3">
      <c r="A10" s="163">
        <v>8</v>
      </c>
      <c r="B10" s="160" t="s">
        <v>133</v>
      </c>
      <c r="C10" s="170">
        <f>IF(PrecioDeVenta!C10&gt;0,PrecioDeVenta!C10-CostoTotal!C10,0)</f>
        <v>31.156789599999996</v>
      </c>
      <c r="D10" s="170">
        <f>IF(PrecioDeVenta!D10&gt;0,PrecioDeVenta!D10-CostoTotal!D10,0)</f>
        <v>30.328138000000003</v>
      </c>
      <c r="E10" s="170">
        <f>IF(PrecioDeVenta!E10&gt;0,PrecioDeVenta!E10-CostoTotal!E10,0)</f>
        <v>29.499486400000002</v>
      </c>
      <c r="F10" s="170">
        <f>IF(PrecioDeVenta!F10&gt;0,PrecioDeVenta!F10-CostoTotal!F10,0)</f>
        <v>37.605425599999997</v>
      </c>
      <c r="G10" s="170">
        <f>IF(PrecioDeVenta!G10&gt;0,PrecioDeVenta!G10-CostoTotal!G10,0)</f>
        <v>34.527576799999999</v>
      </c>
      <c r="H10" s="170">
        <f>IF(PrecioDeVenta!H10&gt;0,PrecioDeVenta!H10-CostoTotal!H10,0)</f>
        <v>33.935682800000009</v>
      </c>
      <c r="I10" s="170">
        <f>IF(PrecioDeVenta!I10&gt;0,PrecioDeVenta!I10-CostoTotal!I10,0)</f>
        <v>43.343788799999999</v>
      </c>
      <c r="J10" s="170">
        <f>IF(PrecioDeVenta!J10&gt;0,PrecioDeVenta!J10-CostoTotal!J10,0)</f>
        <v>42.515137200000005</v>
      </c>
      <c r="K10" s="170">
        <f>IF(PrecioDeVenta!K10&gt;0,PrecioDeVenta!K10-CostoTotal!K10,0)</f>
        <v>0</v>
      </c>
      <c r="L10" s="170">
        <f>IF(PrecioDeVenta!L10&gt;0,PrecioDeVenta!L10-CostoTotal!L10,0)</f>
        <v>46.094591600000001</v>
      </c>
      <c r="M10" s="170">
        <f>IF(PrecioDeVenta!M10&gt;0,PrecioDeVenta!M10-CostoTotal!M10,0)</f>
        <v>45.265940000000001</v>
      </c>
      <c r="N10" s="170">
        <f>IF(PrecioDeVenta!N10&gt;0,PrecioDeVenta!N10-CostoTotal!N10,0)</f>
        <v>44.437288400000007</v>
      </c>
      <c r="O10" s="170">
        <f>IF(PrecioDeVenta!O10&gt;0,PrecioDeVenta!O10-CostoTotal!O10,0)</f>
        <v>53.371879200000002</v>
      </c>
      <c r="P10" s="170">
        <f>IF(PrecioDeVenta!P10&gt;0,PrecioDeVenta!P10-CostoTotal!P10,0)</f>
        <v>52.306469999999997</v>
      </c>
      <c r="Q10" s="170">
        <f>IF(PrecioDeVenta!Q10&gt;0,PrecioDeVenta!Q10-CostoTotal!Q10,0)</f>
        <v>50.057272799999993</v>
      </c>
      <c r="R10" s="170">
        <f>IF(PrecioDeVenta!R10&gt;0,PrecioDeVenta!R10-CostoTotal!R10,0)</f>
        <v>0</v>
      </c>
    </row>
    <row r="11" spans="1:18" ht="20.25" customHeight="1" thickBot="1" x14ac:dyDescent="0.3">
      <c r="A11" s="162">
        <v>9</v>
      </c>
      <c r="B11" s="158" t="s">
        <v>8</v>
      </c>
      <c r="C11" s="170">
        <f>IF(PrecioDeVenta!C11&gt;0,PrecioDeVenta!C11-CostoTotal!C11,0)</f>
        <v>40.828969771689493</v>
      </c>
      <c r="D11" s="170">
        <f>IF(PrecioDeVenta!D11&gt;0,PrecioDeVenta!D11-CostoTotal!D11,0)</f>
        <v>40.53176429223744</v>
      </c>
      <c r="E11" s="170">
        <f>IF(PrecioDeVenta!E11&gt;0,PrecioDeVenta!E11-CostoTotal!E11,0)</f>
        <v>45.23455881278538</v>
      </c>
      <c r="F11" s="170">
        <f>IF(PrecioDeVenta!F11&gt;0,PrecioDeVenta!F11-CostoTotal!F11,0)</f>
        <v>45.011654703196342</v>
      </c>
      <c r="G11" s="170">
        <f>IF(PrecioDeVenta!G11&gt;0,PrecioDeVenta!G11-CostoTotal!G11,0)</f>
        <v>49.788750593607304</v>
      </c>
      <c r="H11" s="170">
        <f>IF(PrecioDeVenta!H11&gt;0,PrecioDeVenta!H11-CostoTotal!H11,0)</f>
        <v>49.417243744292236</v>
      </c>
      <c r="I11" s="170">
        <f>IF(PrecioDeVenta!I11&gt;0,PrecioDeVenta!I11-CostoTotal!I11,0)</f>
        <v>58.6742300456621</v>
      </c>
      <c r="J11" s="170">
        <f>IF(PrecioDeVenta!J11&gt;0,PrecioDeVenta!J11-CostoTotal!J11,0)</f>
        <v>58.079819086757993</v>
      </c>
      <c r="K11" s="170">
        <f>IF(PrecioDeVenta!K11&gt;0,PrecioDeVenta!K11-CostoTotal!K11,0)</f>
        <v>0</v>
      </c>
      <c r="L11" s="170">
        <f>IF(PrecioDeVenta!L11&gt;0,PrecioDeVenta!L11-CostoTotal!L11,0)</f>
        <v>62.559709497716895</v>
      </c>
      <c r="M11" s="170">
        <f>IF(PrecioDeVenta!M11&gt;0,PrecioDeVenta!M11-CostoTotal!M11,0)</f>
        <v>62.113901278538812</v>
      </c>
      <c r="N11" s="170">
        <f>IF(PrecioDeVenta!N11&gt;0,PrecioDeVenta!N11-CostoTotal!N11,0)</f>
        <v>61.668093059360729</v>
      </c>
      <c r="O11" s="170">
        <f>IF(PrecioDeVenta!O11&gt;0,PrecioDeVenta!O11-CostoTotal!O11,0)</f>
        <v>66.29658621004566</v>
      </c>
      <c r="P11" s="170">
        <f>IF(PrecioDeVenta!P11&gt;0,PrecioDeVenta!P11-CostoTotal!P11,0)</f>
        <v>65.627873881278532</v>
      </c>
      <c r="Q11" s="170">
        <f>IF(PrecioDeVenta!Q11&gt;0,PrecioDeVenta!Q11-CostoTotal!Q11,0)</f>
        <v>65.033462922374426</v>
      </c>
      <c r="R11" s="170">
        <f>IF(PrecioDeVenta!R11&gt;0,PrecioDeVenta!R11-CostoTotal!R11,0)</f>
        <v>0</v>
      </c>
    </row>
    <row r="12" spans="1:18" ht="20.25" customHeight="1" thickBot="1" x14ac:dyDescent="0.3">
      <c r="A12" s="163">
        <v>10</v>
      </c>
      <c r="B12" s="160" t="s">
        <v>134</v>
      </c>
      <c r="C12" s="170">
        <f>IF(PrecioDeVenta!C12&gt;0,PrecioDeVenta!C12-CostoTotal!C12,0)</f>
        <v>35.594989333333331</v>
      </c>
      <c r="D12" s="170">
        <f>IF(PrecioDeVenta!D12&gt;0,PrecioDeVenta!D12-CostoTotal!D12,0)</f>
        <v>34.423405333333335</v>
      </c>
      <c r="E12" s="170">
        <f>IF(PrecioDeVenta!E12&gt;0,PrecioDeVenta!E12-CostoTotal!E12,0)</f>
        <v>38.251821333333332</v>
      </c>
      <c r="F12" s="170">
        <f>IF(PrecioDeVenta!F12&gt;0,PrecioDeVenta!F12-CostoTotal!F12,0)</f>
        <v>37.080237333333329</v>
      </c>
      <c r="G12" s="170">
        <f>IF(PrecioDeVenta!G12&gt;0,PrecioDeVenta!G12-CostoTotal!G12,0)</f>
        <v>40.908653333333334</v>
      </c>
      <c r="H12" s="170">
        <f>IF(PrecioDeVenta!H12&gt;0,PrecioDeVenta!H12-CostoTotal!H12,0)</f>
        <v>37.477069333333333</v>
      </c>
      <c r="I12" s="170">
        <f>IF(PrecioDeVenta!I12&gt;0,PrecioDeVenta!I12-CostoTotal!I12,0)</f>
        <v>46.305485333333337</v>
      </c>
      <c r="J12" s="170">
        <f>IF(PrecioDeVenta!J12&gt;0,PrecioDeVenta!J12-CostoTotal!J12,0)</f>
        <v>45.133901333333334</v>
      </c>
      <c r="K12" s="170">
        <f>IF(PrecioDeVenta!K12&gt;0,PrecioDeVenta!K12-CostoTotal!K12,0)</f>
        <v>0</v>
      </c>
      <c r="L12" s="170">
        <f>IF(PrecioDeVenta!L12&gt;0,PrecioDeVenta!L12-CostoTotal!L12,0)</f>
        <v>48.962317333333324</v>
      </c>
      <c r="M12" s="170">
        <f>IF(PrecioDeVenta!M12&gt;0,PrecioDeVenta!M12-CostoTotal!M12,0)</f>
        <v>47.790733333333336</v>
      </c>
      <c r="N12" s="170">
        <f>IF(PrecioDeVenta!N12&gt;0,PrecioDeVenta!N12-CostoTotal!N12,0)</f>
        <v>46.326253333333327</v>
      </c>
      <c r="O12" s="170">
        <f>IF(PrecioDeVenta!O12&gt;0,PrecioDeVenta!O12-CostoTotal!O12,0)</f>
        <v>49.861773333333332</v>
      </c>
      <c r="P12" s="170">
        <f>IF(PrecioDeVenta!P12&gt;0,PrecioDeVenta!P12-CostoTotal!P12,0)</f>
        <v>48.543741333333323</v>
      </c>
      <c r="Q12" s="170">
        <f>IF(PrecioDeVenta!Q12&gt;0,PrecioDeVenta!Q12-CostoTotal!Q12,0)</f>
        <v>46.932813333333328</v>
      </c>
      <c r="R12" s="170">
        <f>IF(PrecioDeVenta!R12&gt;0,PrecioDeVenta!R12-CostoTotal!R12,0)</f>
        <v>0</v>
      </c>
    </row>
    <row r="13" spans="1:18" ht="20.25" customHeight="1" thickBot="1" x14ac:dyDescent="0.3">
      <c r="A13" s="162">
        <v>11</v>
      </c>
      <c r="B13" s="158" t="s">
        <v>135</v>
      </c>
      <c r="C13" s="170">
        <f>IF(PrecioDeVenta!C13&gt;0,PrecioDeVenta!C13-CostoTotal!C13,0)</f>
        <v>59.250867999999997</v>
      </c>
      <c r="D13" s="170">
        <f>IF(PrecioDeVenta!D13&gt;0,PrecioDeVenta!D13-CostoTotal!D13,0)</f>
        <v>57.347044000000004</v>
      </c>
      <c r="E13" s="170">
        <f>IF(PrecioDeVenta!E13&gt;0,PrecioDeVenta!E13-CostoTotal!E13,0)</f>
        <v>55.443219999999997</v>
      </c>
      <c r="F13" s="170">
        <f>IF(PrecioDeVenta!F13&gt;0,PrecioDeVenta!F13-CostoTotal!F13,0)</f>
        <v>58.978740000000002</v>
      </c>
      <c r="G13" s="170">
        <f>IF(PrecioDeVenta!G13&gt;0,PrecioDeVenta!G13-CostoTotal!G13,0)</f>
        <v>57.51426</v>
      </c>
      <c r="H13" s="170">
        <f>IF(PrecioDeVenta!H13&gt;0,PrecioDeVenta!H13-CostoTotal!H13,0)</f>
        <v>44.563556000000005</v>
      </c>
      <c r="I13" s="170">
        <f>IF(PrecioDeVenta!I13&gt;0,PrecioDeVenta!I13-CostoTotal!I13,0)</f>
        <v>46.341700000000003</v>
      </c>
      <c r="J13" s="170">
        <f>IF(PrecioDeVenta!J13&gt;0,PrecioDeVenta!J13-CostoTotal!J13,0)</f>
        <v>44.584323999999995</v>
      </c>
      <c r="K13" s="170">
        <f>IF(PrecioDeVenta!K13&gt;0,PrecioDeVenta!K13-CostoTotal!K13,0)</f>
        <v>0</v>
      </c>
      <c r="L13" s="170">
        <f>IF(PrecioDeVenta!L13&gt;0,PrecioDeVenta!L13-CostoTotal!L13,0)</f>
        <v>47.534051999999996</v>
      </c>
      <c r="M13" s="170">
        <f>IF(PrecioDeVenta!M13&gt;0,PrecioDeVenta!M13-CostoTotal!M13,0)</f>
        <v>44.68826</v>
      </c>
      <c r="N13" s="170">
        <f>IF(PrecioDeVenta!N13&gt;0,PrecioDeVenta!N13-CostoTotal!N13,0)</f>
        <v>44.248915999999994</v>
      </c>
      <c r="O13" s="170">
        <f>IF(PrecioDeVenta!O13&gt;0,PrecioDeVenta!O13-CostoTotal!O13,0)</f>
        <v>48.223780000000005</v>
      </c>
      <c r="P13" s="170">
        <f>IF(PrecioDeVenta!P13&gt;0,PrecioDeVenta!P13-CostoTotal!P13,0)</f>
        <v>46.027059999999992</v>
      </c>
      <c r="Q13" s="170">
        <f>IF(PrecioDeVenta!Q13&gt;0,PrecioDeVenta!Q13-CostoTotal!Q13,0)</f>
        <v>44.123236000000006</v>
      </c>
      <c r="R13" s="170">
        <f>IF(PrecioDeVenta!R13&gt;0,PrecioDeVenta!R13-CostoTotal!R13,0)</f>
        <v>0</v>
      </c>
    </row>
    <row r="14" spans="1:18" ht="20.25" customHeight="1" thickBot="1" x14ac:dyDescent="0.3">
      <c r="A14" s="163">
        <v>12</v>
      </c>
      <c r="B14" s="160" t="s">
        <v>9</v>
      </c>
      <c r="C14" s="170">
        <f>IF(PrecioDeVenta!C14&gt;0,PrecioDeVenta!C14-CostoTotal!C14,0)</f>
        <v>0</v>
      </c>
      <c r="D14" s="170">
        <f>IF(PrecioDeVenta!D14&gt;0,PrecioDeVenta!D14-CostoTotal!D14,0)</f>
        <v>0</v>
      </c>
      <c r="E14" s="170">
        <f>IF(PrecioDeVenta!E14&gt;0,PrecioDeVenta!E14-CostoTotal!E14,0)</f>
        <v>0</v>
      </c>
      <c r="F14" s="170">
        <f>IF(PrecioDeVenta!F14&gt;0,PrecioDeVenta!F14-CostoTotal!F14,0)</f>
        <v>0</v>
      </c>
      <c r="G14" s="170">
        <f>IF(PrecioDeVenta!G14&gt;0,PrecioDeVenta!G14-CostoTotal!G14,0)</f>
        <v>0</v>
      </c>
      <c r="H14" s="170">
        <f>IF(PrecioDeVenta!H14&gt;0,PrecioDeVenta!H14-CostoTotal!H14,0)</f>
        <v>0</v>
      </c>
      <c r="I14" s="170">
        <f>IF(PrecioDeVenta!I14&gt;0,PrecioDeVenta!I14-CostoTotal!I14,0)</f>
        <v>0</v>
      </c>
      <c r="J14" s="170">
        <f>IF(PrecioDeVenta!J14&gt;0,PrecioDeVenta!J14-CostoTotal!J14,0)</f>
        <v>101.19444308943088</v>
      </c>
      <c r="K14" s="170">
        <f>IF(PrecioDeVenta!K14&gt;0,PrecioDeVenta!K14-CostoTotal!K14,0)</f>
        <v>98.833018699186979</v>
      </c>
      <c r="L14" s="170">
        <f>IF(PrecioDeVenta!L14&gt;0,PrecioDeVenta!L14-CostoTotal!L14,0)</f>
        <v>96.471594308943068</v>
      </c>
      <c r="M14" s="170">
        <f>IF(PrecioDeVenta!M14&gt;0,PrecioDeVenta!M14-CostoTotal!M14,0)</f>
        <v>104.38798455284551</v>
      </c>
      <c r="N14" s="170">
        <f>IF(PrecioDeVenta!N14&gt;0,PrecioDeVenta!N14-CostoTotal!N14,0)</f>
        <v>112.72109674796747</v>
      </c>
      <c r="O14" s="170">
        <f>IF(PrecioDeVenta!O14&gt;0,PrecioDeVenta!O14-CostoTotal!O14,0)</f>
        <v>121.88765284552845</v>
      </c>
      <c r="P14" s="170">
        <f>IF(PrecioDeVenta!P14&gt;0,PrecioDeVenta!P14-CostoTotal!P14,0)</f>
        <v>130.91530162601623</v>
      </c>
      <c r="Q14" s="170">
        <f>IF(PrecioDeVenta!Q14&gt;0,PrecioDeVenta!Q14-CostoTotal!Q14,0)</f>
        <v>139.52622845528452</v>
      </c>
      <c r="R14" s="170">
        <f>IF(PrecioDeVenta!R14&gt;0,PrecioDeVenta!R14-CostoTotal!R14,0)</f>
        <v>0</v>
      </c>
    </row>
    <row r="15" spans="1:18" ht="20.25" customHeight="1" thickBot="1" x14ac:dyDescent="0.3">
      <c r="A15" s="162">
        <v>13</v>
      </c>
      <c r="B15" s="158" t="s">
        <v>10</v>
      </c>
      <c r="C15" s="170">
        <f>IF(PrecioDeVenta!C15&gt;0,PrecioDeVenta!C15-CostoTotal!C15,0)</f>
        <v>33.30716666666666</v>
      </c>
      <c r="D15" s="170">
        <f>IF(PrecioDeVenta!D15&gt;0,PrecioDeVenta!D15-CostoTotal!D15,0)</f>
        <v>32.227166666666676</v>
      </c>
      <c r="E15" s="170">
        <f>IF(PrecioDeVenta!E15&gt;0,PrecioDeVenta!E15-CostoTotal!E15,0)</f>
        <v>36.327166666666656</v>
      </c>
      <c r="F15" s="170">
        <f>IF(PrecioDeVenta!F15&gt;0,PrecioDeVenta!F15-CostoTotal!F15,0)</f>
        <v>38.807166666666667</v>
      </c>
      <c r="G15" s="170">
        <f>IF(PrecioDeVenta!G15&gt;0,PrecioDeVenta!G15-CostoTotal!G15,0)</f>
        <v>42.007166666666677</v>
      </c>
      <c r="H15" s="170">
        <f>IF(PrecioDeVenta!H15&gt;0,PrecioDeVenta!H15-CostoTotal!H15,0)</f>
        <v>42.357166666666672</v>
      </c>
      <c r="I15" s="170">
        <f>IF(PrecioDeVenta!I15&gt;0,PrecioDeVenta!I15-CostoTotal!I15,0)</f>
        <v>46.997166666666672</v>
      </c>
      <c r="J15" s="170">
        <f>IF(PrecioDeVenta!J15&gt;0,PrecioDeVenta!J15-CostoTotal!J15,0)</f>
        <v>51.097166666666666</v>
      </c>
      <c r="K15" s="170">
        <f>IF(PrecioDeVenta!K15&gt;0,PrecioDeVenta!K15-CostoTotal!K15,0)</f>
        <v>55.017166666666654</v>
      </c>
      <c r="L15" s="170">
        <f>IF(PrecioDeVenta!L15&gt;0,PrecioDeVenta!L15-CostoTotal!L15,0)</f>
        <v>55.137166666666673</v>
      </c>
      <c r="M15" s="170">
        <f>IF(PrecioDeVenta!M15&gt;0,PrecioDeVenta!M15-CostoTotal!M15,0)</f>
        <v>54.597166666666666</v>
      </c>
      <c r="N15" s="170">
        <f>IF(PrecioDeVenta!N15&gt;0,PrecioDeVenta!N15-CostoTotal!N15,0)</f>
        <v>59.237166666666681</v>
      </c>
      <c r="O15" s="170">
        <f>IF(PrecioDeVenta!O15&gt;0,PrecioDeVenta!O15-CostoTotal!O15,0)</f>
        <v>62.797166666666669</v>
      </c>
      <c r="P15" s="170">
        <f>IF(PrecioDeVenta!P15&gt;0,PrecioDeVenta!P15-CostoTotal!P15,0)</f>
        <v>71.897166666666678</v>
      </c>
      <c r="Q15" s="170">
        <f>IF(PrecioDeVenta!Q15&gt;0,PrecioDeVenta!Q15-CostoTotal!Q15,0)</f>
        <v>80.997166666666658</v>
      </c>
      <c r="R15" s="170">
        <f>IF(PrecioDeVenta!R15&gt;0,PrecioDeVenta!R15-CostoTotal!R15,0)</f>
        <v>0</v>
      </c>
    </row>
    <row r="16" spans="1:18" ht="20.25" customHeight="1" thickBot="1" x14ac:dyDescent="0.3">
      <c r="A16" s="162">
        <v>14</v>
      </c>
      <c r="B16" s="158" t="s">
        <v>171</v>
      </c>
      <c r="C16" s="170">
        <f>IF(PrecioDeVenta!C16&gt;0,PrecioDeVenta!C16-CostoTotal!C16,0)</f>
        <v>41.238700000000001</v>
      </c>
      <c r="D16" s="170">
        <f>IF(PrecioDeVenta!D16&gt;0,PrecioDeVenta!D16-CostoTotal!D16,0)</f>
        <v>40.158700000000003</v>
      </c>
      <c r="E16" s="170">
        <f>IF(PrecioDeVenta!E16&gt;0,PrecioDeVenta!E16-CostoTotal!E16,0)</f>
        <v>44.258700000000005</v>
      </c>
      <c r="F16" s="170">
        <f>IF(PrecioDeVenta!F16&gt;0,PrecioDeVenta!F16-CostoTotal!F16,0)</f>
        <v>46.738700000000001</v>
      </c>
      <c r="G16" s="170">
        <f>IF(PrecioDeVenta!G16&gt;0,PrecioDeVenta!G16-CostoTotal!G16,0)</f>
        <v>49.758700000000005</v>
      </c>
      <c r="H16" s="170">
        <f>IF(PrecioDeVenta!H16&gt;0,PrecioDeVenta!H16-CostoTotal!H16,0)</f>
        <v>50.108699999999999</v>
      </c>
      <c r="I16" s="170">
        <f>IF(PrecioDeVenta!I16&gt;0,PrecioDeVenta!I16-CostoTotal!I16,0)</f>
        <v>54.748699999999999</v>
      </c>
      <c r="J16" s="170">
        <f>IF(PrecioDeVenta!J16&gt;0,PrecioDeVenta!J16-CostoTotal!J16,0)</f>
        <v>58.848699999999994</v>
      </c>
      <c r="K16" s="170">
        <f>IF(PrecioDeVenta!K16&gt;0,PrecioDeVenta!K16-CostoTotal!K16,0)</f>
        <v>0</v>
      </c>
      <c r="L16" s="170">
        <f>IF(PrecioDeVenta!L16&gt;0,PrecioDeVenta!L16-CostoTotal!L16,0)</f>
        <v>0</v>
      </c>
      <c r="M16" s="170">
        <f>IF(PrecioDeVenta!M16&gt;0,PrecioDeVenta!M16-CostoTotal!M16,0)</f>
        <v>0</v>
      </c>
      <c r="N16" s="170">
        <f>IF(PrecioDeVenta!N16&gt;0,PrecioDeVenta!N16-CostoTotal!N16,0)</f>
        <v>0</v>
      </c>
      <c r="O16" s="170">
        <f>IF(PrecioDeVenta!O16&gt;0,PrecioDeVenta!O16-CostoTotal!O16,0)</f>
        <v>0</v>
      </c>
      <c r="P16" s="170">
        <f>IF(PrecioDeVenta!P16&gt;0,PrecioDeVenta!P16-CostoTotal!P16,0)</f>
        <v>0</v>
      </c>
      <c r="Q16" s="170">
        <f>IF(PrecioDeVenta!Q16&gt;0,PrecioDeVenta!Q16-CostoTotal!Q16,0)</f>
        <v>0</v>
      </c>
      <c r="R16" s="170">
        <f>IF(PrecioDeVenta!R16&gt;0,PrecioDeVenta!R16-CostoTotal!R16,0)</f>
        <v>0</v>
      </c>
    </row>
    <row r="17" spans="1:18" ht="20.25" customHeight="1" thickBot="1" x14ac:dyDescent="0.3">
      <c r="A17" s="163">
        <v>15</v>
      </c>
      <c r="B17" s="160" t="s">
        <v>11</v>
      </c>
      <c r="C17" s="170">
        <f>IF(PrecioDeVenta!C17&gt;0,PrecioDeVenta!C17-CostoTotal!C17,0)</f>
        <v>19.66368431372549</v>
      </c>
      <c r="D17" s="170">
        <f>IF(PrecioDeVenta!D17&gt;0,PrecioDeVenta!D17-CostoTotal!D17,0)</f>
        <v>0</v>
      </c>
      <c r="E17" s="170">
        <f>IF(PrecioDeVenta!E17&gt;0,PrecioDeVenta!E17-CostoTotal!E17,0)</f>
        <v>0</v>
      </c>
      <c r="F17" s="170">
        <f>IF(PrecioDeVenta!F17&gt;0,PrecioDeVenta!F17-CostoTotal!F17,0)</f>
        <v>0</v>
      </c>
      <c r="G17" s="170">
        <f>IF(PrecioDeVenta!G17&gt;0,PrecioDeVenta!G17-CostoTotal!G17,0)</f>
        <v>0</v>
      </c>
      <c r="H17" s="170">
        <f>IF(PrecioDeVenta!H17&gt;0,PrecioDeVenta!H17-CostoTotal!H17,0)</f>
        <v>0</v>
      </c>
      <c r="I17" s="170">
        <f>IF(PrecioDeVenta!I17&gt;0,PrecioDeVenta!I17-CostoTotal!I17,0)</f>
        <v>0</v>
      </c>
      <c r="J17" s="170">
        <f>IF(PrecioDeVenta!J17&gt;0,PrecioDeVenta!J17-CostoTotal!J17,0)</f>
        <v>0</v>
      </c>
      <c r="K17" s="170">
        <f>IF(PrecioDeVenta!K17&gt;0,PrecioDeVenta!K17-CostoTotal!K17,0)</f>
        <v>0</v>
      </c>
      <c r="L17" s="170">
        <f>IF(PrecioDeVenta!L17&gt;0,PrecioDeVenta!L17-CostoTotal!L17,0)</f>
        <v>0</v>
      </c>
      <c r="M17" s="170">
        <f>IF(PrecioDeVenta!M17&gt;0,PrecioDeVenta!M17-CostoTotal!M17,0)</f>
        <v>0</v>
      </c>
      <c r="N17" s="170">
        <f>IF(PrecioDeVenta!N17&gt;0,PrecioDeVenta!N17-CostoTotal!N17,0)</f>
        <v>0</v>
      </c>
      <c r="O17" s="170">
        <f>IF(PrecioDeVenta!O17&gt;0,PrecioDeVenta!O17-CostoTotal!O17,0)</f>
        <v>0</v>
      </c>
      <c r="P17" s="170">
        <f>IF(PrecioDeVenta!P17&gt;0,PrecioDeVenta!P17-CostoTotal!P17,0)</f>
        <v>0</v>
      </c>
      <c r="Q17" s="170">
        <f>IF(PrecioDeVenta!Q17&gt;0,PrecioDeVenta!Q17-CostoTotal!Q17,0)</f>
        <v>0</v>
      </c>
      <c r="R17" s="170">
        <f>IF(PrecioDeVenta!R17&gt;0,PrecioDeVenta!R17-CostoTotal!R17,0)</f>
        <v>0</v>
      </c>
    </row>
    <row r="18" spans="1:18" ht="20.25" customHeight="1" thickBot="1" x14ac:dyDescent="0.3">
      <c r="A18" s="162">
        <v>16</v>
      </c>
      <c r="B18" s="158" t="s">
        <v>12</v>
      </c>
      <c r="C18" s="170">
        <f>IF(PrecioDeVenta!C18&gt;0,PrecioDeVenta!C18-CostoTotal!C18,0)</f>
        <v>27.531631372549015</v>
      </c>
      <c r="D18" s="170">
        <f>IF(PrecioDeVenta!D18&gt;0,PrecioDeVenta!D18-CostoTotal!D18,0)</f>
        <v>35.61727843137254</v>
      </c>
      <c r="E18" s="170">
        <f>IF(PrecioDeVenta!E18&gt;0,PrecioDeVenta!E18-CostoTotal!E18,0)</f>
        <v>33.702925490196066</v>
      </c>
      <c r="F18" s="170">
        <f>IF(PrecioDeVenta!F18&gt;0,PrecioDeVenta!F18-CostoTotal!F18,0)</f>
        <v>31.788572549019605</v>
      </c>
      <c r="G18" s="170">
        <f>IF(PrecioDeVenta!G18&gt;0,PrecioDeVenta!G18-CostoTotal!G18,0)</f>
        <v>34.874219607843131</v>
      </c>
      <c r="H18" s="170">
        <f>IF(PrecioDeVenta!H18&gt;0,PrecioDeVenta!H18-CostoTotal!H18,0)</f>
        <v>32.959866666666642</v>
      </c>
      <c r="I18" s="170">
        <f>IF(PrecioDeVenta!I18&gt;0,PrecioDeVenta!I18-CostoTotal!I18,0)</f>
        <v>35.806219607843119</v>
      </c>
      <c r="J18" s="170">
        <f>IF(PrecioDeVenta!J18&gt;0,PrecioDeVenta!J18-CostoTotal!J18,0)</f>
        <v>33.891866666666658</v>
      </c>
      <c r="K18" s="170">
        <f>IF(PrecioDeVenta!K18&gt;0,PrecioDeVenta!K18-CostoTotal!K18,0)</f>
        <v>0</v>
      </c>
      <c r="L18" s="170">
        <f>IF(PrecioDeVenta!L18&gt;0,PrecioDeVenta!L18-CostoTotal!L18,0)</f>
        <v>36.977513725490184</v>
      </c>
      <c r="M18" s="170">
        <f>IF(PrecioDeVenta!M18&gt;0,PrecioDeVenta!M18-CostoTotal!M18,0)</f>
        <v>40.063160784313709</v>
      </c>
      <c r="N18" s="170">
        <f>IF(PrecioDeVenta!N18&gt;0,PrecioDeVenta!N18-CostoTotal!N18,0)</f>
        <v>43.148807843137234</v>
      </c>
      <c r="O18" s="170">
        <f>IF(PrecioDeVenta!O18&gt;0,PrecioDeVenta!O18-CostoTotal!O18,0)</f>
        <v>46.23445490196076</v>
      </c>
      <c r="P18" s="170">
        <f>IF(PrecioDeVenta!P18&gt;0,PrecioDeVenta!P18-CostoTotal!P18,0)</f>
        <v>54.320101960784299</v>
      </c>
      <c r="Q18" s="170">
        <f>IF(PrecioDeVenta!Q18&gt;0,PrecioDeVenta!Q18-CostoTotal!Q18,0)</f>
        <v>72.405749019607839</v>
      </c>
      <c r="R18" s="170">
        <f>IF(PrecioDeVenta!R18&gt;0,PrecioDeVenta!R18-CostoTotal!R18,0)</f>
        <v>0</v>
      </c>
    </row>
    <row r="19" spans="1:18" ht="20.25" customHeight="1" thickBot="1" x14ac:dyDescent="0.3">
      <c r="A19" s="163">
        <v>17</v>
      </c>
      <c r="B19" s="160" t="s">
        <v>13</v>
      </c>
      <c r="C19" s="170">
        <f>IF(PrecioDeVenta!C19&gt;0,PrecioDeVenta!C19-CostoTotal!C19,0)</f>
        <v>43.376447058823516</v>
      </c>
      <c r="D19" s="170">
        <f>IF(PrecioDeVenta!D19&gt;0,PrecioDeVenta!D19-CostoTotal!D19,0)</f>
        <v>40.504917647058818</v>
      </c>
      <c r="E19" s="170">
        <f>IF(PrecioDeVenta!E19&gt;0,PrecioDeVenta!E19-CostoTotal!E19,0)</f>
        <v>47.633388235294106</v>
      </c>
      <c r="F19" s="170">
        <f>IF(PrecioDeVenta!F19&gt;0,PrecioDeVenta!F19-CostoTotal!F19,0)</f>
        <v>44.761858823529408</v>
      </c>
      <c r="G19" s="170">
        <f>IF(PrecioDeVenta!G19&gt;0,PrecioDeVenta!G19-CostoTotal!G19,0)</f>
        <v>51.890329411764696</v>
      </c>
      <c r="H19" s="170">
        <f>IF(PrecioDeVenta!H19&gt;0,PrecioDeVenta!H19-CostoTotal!H19,0)</f>
        <v>49.018799999999985</v>
      </c>
      <c r="I19" s="170">
        <f>IF(PrecioDeVenta!I19&gt;0,PrecioDeVenta!I19-CostoTotal!I19,0)</f>
        <v>0</v>
      </c>
      <c r="J19" s="170">
        <f>IF(PrecioDeVenta!J19&gt;0,PrecioDeVenta!J19-CostoTotal!J19,0)</f>
        <v>0</v>
      </c>
      <c r="K19" s="170">
        <f>IF(PrecioDeVenta!K19&gt;0,PrecioDeVenta!K19-CostoTotal!K19,0)</f>
        <v>0</v>
      </c>
      <c r="L19" s="170">
        <f>IF(PrecioDeVenta!L19&gt;0,PrecioDeVenta!L19-CostoTotal!L19,0)</f>
        <v>0</v>
      </c>
      <c r="M19" s="170">
        <f>IF(PrecioDeVenta!M19&gt;0,PrecioDeVenta!M19-CostoTotal!M19,0)</f>
        <v>0</v>
      </c>
      <c r="N19" s="170">
        <f>IF(PrecioDeVenta!N19&gt;0,PrecioDeVenta!N19-CostoTotal!N19,0)</f>
        <v>0</v>
      </c>
      <c r="O19" s="170">
        <f>IF(PrecioDeVenta!O19&gt;0,PrecioDeVenta!O19-CostoTotal!O19,0)</f>
        <v>0</v>
      </c>
      <c r="P19" s="170">
        <f>IF(PrecioDeVenta!P19&gt;0,PrecioDeVenta!P19-CostoTotal!P19,0)</f>
        <v>0</v>
      </c>
      <c r="Q19" s="170">
        <f>IF(PrecioDeVenta!Q19&gt;0,PrecioDeVenta!Q19-CostoTotal!Q19,0)</f>
        <v>0</v>
      </c>
      <c r="R19" s="170">
        <f>IF(PrecioDeVenta!R19&gt;0,PrecioDeVenta!R19-CostoTotal!R19,0)</f>
        <v>0</v>
      </c>
    </row>
    <row r="20" spans="1:18" ht="20.25" customHeight="1" thickBot="1" x14ac:dyDescent="0.3">
      <c r="A20" s="162">
        <v>18</v>
      </c>
      <c r="B20" s="158" t="s">
        <v>14</v>
      </c>
      <c r="C20" s="170">
        <f>IF(PrecioDeVenta!C20&gt;0,PrecioDeVenta!C20-CostoTotal!C20,0)</f>
        <v>0</v>
      </c>
      <c r="D20" s="170">
        <f>IF(PrecioDeVenta!D20&gt;0,PrecioDeVenta!D20-CostoTotal!D20,0)</f>
        <v>25.522447058823516</v>
      </c>
      <c r="E20" s="170">
        <f>IF(PrecioDeVenta!E20&gt;0,PrecioDeVenta!E20-CostoTotal!E20,0)</f>
        <v>30.975858823529393</v>
      </c>
      <c r="F20" s="170">
        <f>IF(PrecioDeVenta!F20&gt;0,PrecioDeVenta!F20-CostoTotal!F20,0)</f>
        <v>26.429270588235283</v>
      </c>
      <c r="G20" s="170">
        <f>IF(PrecioDeVenta!G20&gt;0,PrecioDeVenta!G20-CostoTotal!G20,0)</f>
        <v>0</v>
      </c>
      <c r="H20" s="170">
        <f>IF(PrecioDeVenta!H20&gt;0,PrecioDeVenta!H20-CostoTotal!H20,0)</f>
        <v>0</v>
      </c>
      <c r="I20" s="170">
        <f>IF(PrecioDeVenta!I20&gt;0,PrecioDeVenta!I20-CostoTotal!I20,0)</f>
        <v>0</v>
      </c>
      <c r="J20" s="170">
        <f>IF(PrecioDeVenta!J20&gt;0,PrecioDeVenta!J20-CostoTotal!J20,0)</f>
        <v>0</v>
      </c>
      <c r="K20" s="170">
        <f>IF(PrecioDeVenta!K20&gt;0,PrecioDeVenta!K20-CostoTotal!K20,0)</f>
        <v>0</v>
      </c>
      <c r="L20" s="170">
        <f>IF(PrecioDeVenta!L20&gt;0,PrecioDeVenta!L20-CostoTotal!L20,0)</f>
        <v>0</v>
      </c>
      <c r="M20" s="170">
        <f>IF(PrecioDeVenta!M20&gt;0,PrecioDeVenta!M20-CostoTotal!M20,0)</f>
        <v>0</v>
      </c>
      <c r="N20" s="170">
        <f>IF(PrecioDeVenta!N20&gt;0,PrecioDeVenta!N20-CostoTotal!N20,0)</f>
        <v>0</v>
      </c>
      <c r="O20" s="170">
        <f>IF(PrecioDeVenta!O20&gt;0,PrecioDeVenta!O20-CostoTotal!O20,0)</f>
        <v>0</v>
      </c>
      <c r="P20" s="170">
        <f>IF(PrecioDeVenta!P20&gt;0,PrecioDeVenta!P20-CostoTotal!P20,0)</f>
        <v>0</v>
      </c>
      <c r="Q20" s="170">
        <f>IF(PrecioDeVenta!Q20&gt;0,PrecioDeVenta!Q20-CostoTotal!Q20,0)</f>
        <v>0</v>
      </c>
      <c r="R20" s="170">
        <f>IF(PrecioDeVenta!R20&gt;0,PrecioDeVenta!R20-CostoTotal!R20,0)</f>
        <v>0</v>
      </c>
    </row>
    <row r="21" spans="1:18" ht="20.25" customHeight="1" thickBot="1" x14ac:dyDescent="0.3">
      <c r="A21" s="163">
        <v>19</v>
      </c>
      <c r="B21" s="160" t="s">
        <v>132</v>
      </c>
      <c r="C21" s="170">
        <f>IF(PrecioDeVenta!C21&gt;0,PrecioDeVenta!C21-CostoTotal!C21,0)</f>
        <v>53.292333333333332</v>
      </c>
      <c r="D21" s="170">
        <f>IF(PrecioDeVenta!D21&gt;0,PrecioDeVenta!D21-CostoTotal!D21,0)</f>
        <v>58.292333333333332</v>
      </c>
      <c r="E21" s="170">
        <f>IF(PrecioDeVenta!E21&gt;0,PrecioDeVenta!E21-CostoTotal!E21,0)</f>
        <v>67.64233333333334</v>
      </c>
      <c r="F21" s="170">
        <f>IF(PrecioDeVenta!F21&gt;0,PrecioDeVenta!F21-CostoTotal!F21,0)</f>
        <v>71.992333333333335</v>
      </c>
      <c r="G21" s="170">
        <f>IF(PrecioDeVenta!G21&gt;0,PrecioDeVenta!G21-CostoTotal!G21,0)</f>
        <v>71.342333333333329</v>
      </c>
      <c r="H21" s="170">
        <f>IF(PrecioDeVenta!H21&gt;0,PrecioDeVenta!H21-CostoTotal!H21,0)</f>
        <v>75.692333333333337</v>
      </c>
      <c r="I21" s="170">
        <f>IF(PrecioDeVenta!I21&gt;0,PrecioDeVenta!I21-CostoTotal!I21,0)</f>
        <v>80.042333333333332</v>
      </c>
      <c r="J21" s="170">
        <f>IF(PrecioDeVenta!J21&gt;0,PrecioDeVenta!J21-CostoTotal!J21,0)</f>
        <v>79.39233333333334</v>
      </c>
      <c r="K21" s="170">
        <f>IF(PrecioDeVenta!K21&gt;0,PrecioDeVenta!K21-CostoTotal!K21,0)</f>
        <v>0</v>
      </c>
      <c r="L21" s="170">
        <f>IF(PrecioDeVenta!L21&gt;0,PrecioDeVenta!L21-CostoTotal!L21,0)</f>
        <v>73.092333333333329</v>
      </c>
      <c r="M21" s="170">
        <f>IF(PrecioDeVenta!M21&gt;0,PrecioDeVenta!M21-CostoTotal!M21,0)</f>
        <v>66.792333333333332</v>
      </c>
      <c r="N21" s="170">
        <f>IF(PrecioDeVenta!N21&gt;0,PrecioDeVenta!N21-CostoTotal!N21,0)</f>
        <v>55.492333333333335</v>
      </c>
      <c r="O21" s="170">
        <f>IF(PrecioDeVenta!O21&gt;0,PrecioDeVenta!O21-CostoTotal!O21,0)</f>
        <v>49.192333333333323</v>
      </c>
      <c r="P21" s="170">
        <f>IF(PrecioDeVenta!P21&gt;0,PrecioDeVenta!P21-CostoTotal!P21,0)</f>
        <v>37.89233333333334</v>
      </c>
      <c r="Q21" s="170">
        <f>IF(PrecioDeVenta!Q21&gt;0,PrecioDeVenta!Q21-CostoTotal!Q21,0)</f>
        <v>31.592333333333329</v>
      </c>
      <c r="R21" s="170">
        <f>IF(PrecioDeVenta!R21&gt;0,PrecioDeVenta!R21-CostoTotal!R21,0)</f>
        <v>0</v>
      </c>
    </row>
    <row r="22" spans="1:18" ht="20.25" customHeight="1" thickBot="1" x14ac:dyDescent="0.3">
      <c r="A22" s="162">
        <v>20</v>
      </c>
      <c r="B22" s="158" t="s">
        <v>131</v>
      </c>
      <c r="C22" s="170">
        <f>IF(PrecioDeVenta!C22&gt;0,PrecioDeVenta!C22-CostoTotal!C22,0)</f>
        <v>58.942333333333337</v>
      </c>
      <c r="D22" s="170">
        <f>IF(PrecioDeVenta!D22&gt;0,PrecioDeVenta!D22-CostoTotal!D22,0)</f>
        <v>63.942333333333337</v>
      </c>
      <c r="E22" s="170">
        <f>IF(PrecioDeVenta!E22&gt;0,PrecioDeVenta!E22-CostoTotal!E22,0)</f>
        <v>68.292333333333332</v>
      </c>
      <c r="F22" s="170">
        <f>IF(PrecioDeVenta!F22&gt;0,PrecioDeVenta!F22-CostoTotal!F22,0)</f>
        <v>72.64233333333334</v>
      </c>
      <c r="G22" s="170">
        <f>IF(PrecioDeVenta!G22&gt;0,PrecioDeVenta!G22-CostoTotal!G22,0)</f>
        <v>71.992333333333335</v>
      </c>
      <c r="H22" s="170">
        <f>IF(PrecioDeVenta!H22&gt;0,PrecioDeVenta!H22-CostoTotal!H22,0)</f>
        <v>71.342333333333329</v>
      </c>
      <c r="I22" s="170">
        <f>IF(PrecioDeVenta!I22&gt;0,PrecioDeVenta!I22-CostoTotal!I22,0)</f>
        <v>75.692333333333337</v>
      </c>
      <c r="J22" s="170">
        <f>IF(PrecioDeVenta!J22&gt;0,PrecioDeVenta!J22-CostoTotal!J22,0)</f>
        <v>75.042333333333332</v>
      </c>
      <c r="K22" s="170">
        <f>IF(PrecioDeVenta!K22&gt;0,PrecioDeVenta!K22-CostoTotal!K22,0)</f>
        <v>0</v>
      </c>
      <c r="L22" s="170">
        <f>IF(PrecioDeVenta!L22&gt;0,PrecioDeVenta!L22-CostoTotal!L22,0)</f>
        <v>68.742333333333335</v>
      </c>
      <c r="M22" s="170">
        <f>IF(PrecioDeVenta!M22&gt;0,PrecioDeVenta!M22-CostoTotal!M22,0)</f>
        <v>62.442333333333337</v>
      </c>
      <c r="N22" s="170">
        <f>IF(PrecioDeVenta!N22&gt;0,PrecioDeVenta!N22-CostoTotal!N22,0)</f>
        <v>51.14233333333334</v>
      </c>
      <c r="O22" s="170">
        <f>IF(PrecioDeVenta!O22&gt;0,PrecioDeVenta!O22-CostoTotal!O22,0)</f>
        <v>44.842333333333329</v>
      </c>
      <c r="P22" s="170">
        <f>IF(PrecioDeVenta!P22&gt;0,PrecioDeVenta!P22-CostoTotal!P22,0)</f>
        <v>33.542333333333346</v>
      </c>
      <c r="Q22" s="170">
        <f>IF(PrecioDeVenta!Q22&gt;0,PrecioDeVenta!Q22-CostoTotal!Q22,0)</f>
        <v>27.242333333333335</v>
      </c>
      <c r="R22" s="170">
        <f>IF(PrecioDeVenta!R22&gt;0,PrecioDeVenta!R22-CostoTotal!R22,0)</f>
        <v>0</v>
      </c>
    </row>
    <row r="23" spans="1:18" ht="20.25" customHeight="1" thickBot="1" x14ac:dyDescent="0.3">
      <c r="A23" s="163">
        <v>21</v>
      </c>
      <c r="B23" s="160" t="s">
        <v>129</v>
      </c>
      <c r="C23" s="170">
        <f>IF(PrecioDeVenta!C23&gt;0,PrecioDeVenta!C23-CostoTotal!C23,0)</f>
        <v>19.351108045977014</v>
      </c>
      <c r="D23" s="170">
        <f>IF(PrecioDeVenta!D23&gt;0,PrecioDeVenta!D23-CostoTotal!D23,0)</f>
        <v>17.19085977011494</v>
      </c>
      <c r="E23" s="170">
        <f>IF(PrecioDeVenta!E23&gt;0,PrecioDeVenta!E23-CostoTotal!E23,0)</f>
        <v>15.030611494252867</v>
      </c>
      <c r="F23" s="170">
        <f>IF(PrecioDeVenta!F23&gt;0,PrecioDeVenta!F23-CostoTotal!F23,0)</f>
        <v>22.870363218390793</v>
      </c>
      <c r="G23" s="170">
        <f>IF(PrecioDeVenta!G23&gt;0,PrecioDeVenta!G23-CostoTotal!G23,0)</f>
        <v>20.710114942528719</v>
      </c>
      <c r="H23" s="170">
        <f>IF(PrecioDeVenta!H23&gt;0,PrecioDeVenta!H23-CostoTotal!H23,0)</f>
        <v>12.899866666666668</v>
      </c>
      <c r="I23" s="170">
        <f>IF(PrecioDeVenta!I23&gt;0,PrecioDeVenta!I23-CostoTotal!I23,0)</f>
        <v>20.739618390804594</v>
      </c>
      <c r="J23" s="170">
        <f>IF(PrecioDeVenta!J23&gt;0,PrecioDeVenta!J23-CostoTotal!J23,0)</f>
        <v>18.57937011494252</v>
      </c>
      <c r="K23" s="170">
        <f>IF(PrecioDeVenta!K23&gt;0,PrecioDeVenta!K23-CostoTotal!K23,0)</f>
        <v>0</v>
      </c>
      <c r="L23" s="170">
        <f>IF(PrecioDeVenta!L23&gt;0,PrecioDeVenta!L23-CostoTotal!L23,0)</f>
        <v>16.811894252873543</v>
      </c>
      <c r="M23" s="170">
        <f>IF(PrecioDeVenta!M23&gt;0,PrecioDeVenta!M23-CostoTotal!M23,0)</f>
        <v>19.39441839080456</v>
      </c>
      <c r="N23" s="170">
        <f>IF(PrecioDeVenta!N23&gt;0,PrecioDeVenta!N23-CostoTotal!N23,0)</f>
        <v>17.234170114942515</v>
      </c>
      <c r="O23" s="170">
        <f>IF(PrecioDeVenta!O23&gt;0,PrecioDeVenta!O23-CostoTotal!O23,0)</f>
        <v>25.6630804597701</v>
      </c>
      <c r="P23" s="170">
        <f>IF(PrecioDeVenta!P23&gt;0,PrecioDeVenta!P23-CostoTotal!P23,0)</f>
        <v>33.895604597701123</v>
      </c>
      <c r="Q23" s="170">
        <f>IF(PrecioDeVenta!Q23&gt;0,PrecioDeVenta!Q23-CostoTotal!Q23,0)</f>
        <v>31.931742528735612</v>
      </c>
      <c r="R23" s="170">
        <f>IF(PrecioDeVenta!R23&gt;0,PrecioDeVenta!R23-CostoTotal!R23,0)</f>
        <v>0</v>
      </c>
    </row>
    <row r="24" spans="1:18" ht="20.25" customHeight="1" thickBot="1" x14ac:dyDescent="0.3">
      <c r="A24" s="163">
        <v>22</v>
      </c>
      <c r="B24" s="160" t="s">
        <v>172</v>
      </c>
      <c r="C24" s="170">
        <f>IF(PrecioDeVenta!C24&gt;0,PrecioDeVenta!C24-CostoTotal!C24,0)</f>
        <v>19.081414712643664</v>
      </c>
      <c r="D24" s="170">
        <f>IF(PrecioDeVenta!D24&gt;0,PrecioDeVenta!D24-CostoTotal!D24,0)</f>
        <v>16.92116643678159</v>
      </c>
      <c r="E24" s="170">
        <f>IF(PrecioDeVenta!E24&gt;0,PrecioDeVenta!E24-CostoTotal!E24,0)</f>
        <v>14.760918160919545</v>
      </c>
      <c r="F24" s="170">
        <f>IF(PrecioDeVenta!F24&gt;0,PrecioDeVenta!F24-CostoTotal!F24,0)</f>
        <v>22.600669885057471</v>
      </c>
      <c r="G24" s="170">
        <f>IF(PrecioDeVenta!G24&gt;0,PrecioDeVenta!G24-CostoTotal!G24,0)</f>
        <v>20.440421609195397</v>
      </c>
      <c r="H24" s="170">
        <f>IF(PrecioDeVenta!H24&gt;0,PrecioDeVenta!H24-CostoTotal!H24,0)</f>
        <v>12.630173333333346</v>
      </c>
      <c r="I24" s="170">
        <f>IF(PrecioDeVenta!I24&gt;0,PrecioDeVenta!I24-CostoTotal!I24,0)</f>
        <v>20.469925057471272</v>
      </c>
      <c r="J24" s="170">
        <f>IF(PrecioDeVenta!J24&gt;0,PrecioDeVenta!J24-CostoTotal!J24,0)</f>
        <v>18.309676781609198</v>
      </c>
      <c r="K24" s="170">
        <f>IF(PrecioDeVenta!K24&gt;0,PrecioDeVenta!K24-CostoTotal!K24,0)</f>
        <v>0</v>
      </c>
      <c r="L24" s="170">
        <f>IF(PrecioDeVenta!L24&gt;0,PrecioDeVenta!L24-CostoTotal!L24,0)</f>
        <v>16.542200919540221</v>
      </c>
      <c r="M24" s="170">
        <f>IF(PrecioDeVenta!M24&gt;0,PrecioDeVenta!M24-CostoTotal!M24,0)</f>
        <v>19.124725057471238</v>
      </c>
      <c r="N24" s="170">
        <f>IF(PrecioDeVenta!N24&gt;0,PrecioDeVenta!N24-CostoTotal!N24,0)</f>
        <v>16.964476781609193</v>
      </c>
      <c r="O24" s="170">
        <f>IF(PrecioDeVenta!O24&gt;0,PrecioDeVenta!O24-CostoTotal!O24,0)</f>
        <v>25.393387126436778</v>
      </c>
      <c r="P24" s="170">
        <f>IF(PrecioDeVenta!P24&gt;0,PrecioDeVenta!P24-CostoTotal!P24,0)</f>
        <v>33.625911264367801</v>
      </c>
      <c r="Q24" s="170">
        <f>IF(PrecioDeVenta!Q24&gt;0,PrecioDeVenta!Q24-CostoTotal!Q24,0)</f>
        <v>31.66204919540229</v>
      </c>
      <c r="R24" s="170">
        <f>IF(PrecioDeVenta!R24&gt;0,PrecioDeVenta!R24-CostoTotal!R24,0)</f>
        <v>0</v>
      </c>
    </row>
    <row r="25" spans="1:18" ht="20.25" customHeight="1" thickBot="1" x14ac:dyDescent="0.3">
      <c r="A25" s="162">
        <v>23</v>
      </c>
      <c r="B25" s="158" t="s">
        <v>128</v>
      </c>
      <c r="C25" s="170">
        <f>IF(PrecioDeVenta!C25&gt;0,PrecioDeVenta!C25-CostoTotal!C25,0)</f>
        <v>30.662758850574704</v>
      </c>
      <c r="D25" s="170">
        <f>IF(PrecioDeVenta!D25&gt;0,PrecioDeVenta!D25-CostoTotal!D25,0)</f>
        <v>28.28648574712642</v>
      </c>
      <c r="E25" s="170">
        <f>IF(PrecioDeVenta!E25&gt;0,PrecioDeVenta!E25-CostoTotal!E25,0)</f>
        <v>25.910212643678136</v>
      </c>
      <c r="F25" s="170">
        <f>IF(PrecioDeVenta!F25&gt;0,PrecioDeVenta!F25-CostoTotal!F25,0)</f>
        <v>33.533939540229852</v>
      </c>
      <c r="G25" s="170">
        <f>IF(PrecioDeVenta!G25&gt;0,PrecioDeVenta!G25-CostoTotal!G25,0)</f>
        <v>31.157666436781597</v>
      </c>
      <c r="H25" s="170">
        <f>IF(PrecioDeVenta!H25&gt;0,PrecioDeVenta!H25-CostoTotal!H25,0)</f>
        <v>23.131393333333335</v>
      </c>
      <c r="I25" s="170">
        <f>IF(PrecioDeVenta!I25&gt;0,PrecioDeVenta!I25-CostoTotal!I25,0)</f>
        <v>30.755120229885051</v>
      </c>
      <c r="J25" s="170">
        <f>IF(PrecioDeVenta!J25&gt;0,PrecioDeVenta!J25-CostoTotal!J25,0)</f>
        <v>28.378847126436767</v>
      </c>
      <c r="K25" s="170">
        <f>IF(PrecioDeVenta!K25&gt;0,PrecioDeVenta!K25-CostoTotal!K25,0)</f>
        <v>0</v>
      </c>
      <c r="L25" s="170">
        <f>IF(PrecioDeVenta!L25&gt;0,PrecioDeVenta!L25-CostoTotal!L25,0)</f>
        <v>26.434623678160904</v>
      </c>
      <c r="M25" s="170">
        <f>IF(PrecioDeVenta!M25&gt;0,PrecioDeVenta!M25-CostoTotal!M25,0)</f>
        <v>28.840400229885034</v>
      </c>
      <c r="N25" s="170">
        <f>IF(PrecioDeVenta!N25&gt;0,PrecioDeVenta!N25-CostoTotal!N25,0)</f>
        <v>26.46412712643675</v>
      </c>
      <c r="O25" s="170">
        <f>IF(PrecioDeVenta!O25&gt;0,PrecioDeVenta!O25-CostoTotal!O25,0)</f>
        <v>34.735928505747125</v>
      </c>
      <c r="P25" s="170">
        <f>IF(PrecioDeVenta!P25&gt;0,PrecioDeVenta!P25-CostoTotal!P25,0)</f>
        <v>42.791705057471233</v>
      </c>
      <c r="Q25" s="170">
        <f>IF(PrecioDeVenta!Q25&gt;0,PrecioDeVenta!Q25-CostoTotal!Q25,0)</f>
        <v>40.631456781609188</v>
      </c>
      <c r="R25" s="170">
        <f>IF(PrecioDeVenta!R25&gt;0,PrecioDeVenta!R25-CostoTotal!R25,0)</f>
        <v>0</v>
      </c>
    </row>
    <row r="26" spans="1:18" ht="20.25" customHeight="1" thickBot="1" x14ac:dyDescent="0.3">
      <c r="A26" s="163">
        <v>24</v>
      </c>
      <c r="B26" s="160" t="s">
        <v>130</v>
      </c>
      <c r="C26" s="170">
        <f>IF(PrecioDeVenta!C26&gt;0,PrecioDeVenta!C26-CostoTotal!C26,0)</f>
        <v>16.628239540229885</v>
      </c>
      <c r="D26" s="170">
        <f>IF(PrecioDeVenta!D26&gt;0,PrecioDeVenta!D26-CostoTotal!D26,0)</f>
        <v>12.307742988505737</v>
      </c>
      <c r="E26" s="170">
        <f>IF(PrecioDeVenta!E26&gt;0,PrecioDeVenta!E26-CostoTotal!E26,0)</f>
        <v>12.987246436781604</v>
      </c>
      <c r="F26" s="170">
        <f>IF(PrecioDeVenta!F26&gt;0,PrecioDeVenta!F26-CostoTotal!F26,0)</f>
        <v>8.6667498850574702</v>
      </c>
      <c r="G26" s="170">
        <f>IF(PrecioDeVenta!G26&gt;0,PrecioDeVenta!G26-CostoTotal!G26,0)</f>
        <v>9.3462533333333226</v>
      </c>
      <c r="H26" s="170">
        <f>IF(PrecioDeVenta!H26&gt;0,PrecioDeVenta!H26-CostoTotal!H26,0)</f>
        <v>2.7657567816091841</v>
      </c>
      <c r="I26" s="170">
        <f>IF(PrecioDeVenta!I26&gt;0,PrecioDeVenta!I26-CostoTotal!I26,0)</f>
        <v>3.0524878160919542</v>
      </c>
      <c r="J26" s="170">
        <f>IF(PrecioDeVenta!J26&gt;0,PrecioDeVenta!J26-CostoTotal!J26,0)</f>
        <v>3.1428326436781475</v>
      </c>
      <c r="K26" s="170">
        <f>IF(PrecioDeVenta!K26&gt;0,PrecioDeVenta!K26-CostoTotal!K26,0)</f>
        <v>0</v>
      </c>
      <c r="L26" s="170">
        <f>IF(PrecioDeVenta!L26&gt;0,PrecioDeVenta!L26-CostoTotal!L26,0)</f>
        <v>9.411494712643659</v>
      </c>
      <c r="M26" s="170">
        <f>IF(PrecioDeVenta!M26&gt;0,PrecioDeVenta!M26-CostoTotal!M26,0)</f>
        <v>19.598474022988484</v>
      </c>
      <c r="N26" s="170">
        <f>IF(PrecioDeVenta!N26&gt;0,PrecioDeVenta!N26-CostoTotal!N26,0)</f>
        <v>22.045453333333327</v>
      </c>
      <c r="O26" s="170">
        <f>IF(PrecioDeVenta!O26&gt;0,PrecioDeVenta!O26-CostoTotal!O26,0)</f>
        <v>29.492432643678157</v>
      </c>
      <c r="P26" s="170">
        <f>IF(PrecioDeVenta!P26&gt;0,PrecioDeVenta!P26-CostoTotal!P26,0)</f>
        <v>31.153867126436751</v>
      </c>
      <c r="Q26" s="170">
        <f>IF(PrecioDeVenta!Q26&gt;0,PrecioDeVenta!Q26-CostoTotal!Q26,0)</f>
        <v>28.208074022988484</v>
      </c>
      <c r="R26" s="170">
        <f>IF(PrecioDeVenta!R26&gt;0,PrecioDeVenta!R26-CostoTotal!R26,0)</f>
        <v>0</v>
      </c>
    </row>
    <row r="27" spans="1:18" ht="20.25" customHeight="1" thickBot="1" x14ac:dyDescent="0.3">
      <c r="A27" s="162">
        <v>25</v>
      </c>
      <c r="B27" s="158" t="s">
        <v>136</v>
      </c>
      <c r="C27" s="170">
        <f>IF(PrecioDeVenta!C27&gt;0,PrecioDeVenta!C27-CostoTotal!C27,0)</f>
        <v>22.731704933333333</v>
      </c>
      <c r="D27" s="170">
        <f>IF(PrecioDeVenta!D27&gt;0,PrecioDeVenta!D27-CostoTotal!D27,0)</f>
        <v>21.903053333333332</v>
      </c>
      <c r="E27" s="170">
        <f>IF(PrecioDeVenta!E27&gt;0,PrecioDeVenta!E27-CostoTotal!E27,0)</f>
        <v>21.074401733333332</v>
      </c>
      <c r="F27" s="170">
        <f>IF(PrecioDeVenta!F27&gt;0,PrecioDeVenta!F27-CostoTotal!F27,0)</f>
        <v>29.180340933333333</v>
      </c>
      <c r="G27" s="170">
        <f>IF(PrecioDeVenta!G27&gt;0,PrecioDeVenta!G27-CostoTotal!G27,0)</f>
        <v>27.286280133333328</v>
      </c>
      <c r="H27" s="170">
        <f>IF(PrecioDeVenta!H27&gt;0,PrecioDeVenta!H27-CostoTotal!H27,0)</f>
        <v>31.694386133333325</v>
      </c>
      <c r="I27" s="170">
        <f>IF(PrecioDeVenta!I27&gt;0,PrecioDeVenta!I27-CostoTotal!I27,0)</f>
        <v>31.102492133333335</v>
      </c>
      <c r="J27" s="170">
        <f>IF(PrecioDeVenta!J27&gt;0,PrecioDeVenta!J27-CostoTotal!J27,0)</f>
        <v>30.273840533333328</v>
      </c>
      <c r="K27" s="170">
        <f>IF(PrecioDeVenta!K27&gt;0,PrecioDeVenta!K27-CostoTotal!K27,0)</f>
        <v>0</v>
      </c>
      <c r="L27" s="170">
        <f>IF(PrecioDeVenta!L27&gt;0,PrecioDeVenta!L27-CostoTotal!L27,0)</f>
        <v>0</v>
      </c>
      <c r="M27" s="170">
        <f>IF(PrecioDeVenta!M27&gt;0,PrecioDeVenta!M27-CostoTotal!M27,0)</f>
        <v>0</v>
      </c>
      <c r="N27" s="170">
        <f>IF(PrecioDeVenta!N27&gt;0,PrecioDeVenta!N27-CostoTotal!N27,0)</f>
        <v>0</v>
      </c>
      <c r="O27" s="170">
        <f>IF(PrecioDeVenta!O27&gt;0,PrecioDeVenta!O27-CostoTotal!O27,0)</f>
        <v>0</v>
      </c>
      <c r="P27" s="170">
        <f>IF(PrecioDeVenta!P27&gt;0,PrecioDeVenta!P27-CostoTotal!P27,0)</f>
        <v>0</v>
      </c>
      <c r="Q27" s="170">
        <f>IF(PrecioDeVenta!Q27&gt;0,PrecioDeVenta!Q27-CostoTotal!Q27,0)</f>
        <v>0</v>
      </c>
      <c r="R27" s="170">
        <f>IF(PrecioDeVenta!R27&gt;0,PrecioDeVenta!R27-CostoTotal!R27,0)</f>
        <v>0</v>
      </c>
    </row>
    <row r="28" spans="1:18" ht="20.25" customHeight="1" thickBot="1" x14ac:dyDescent="0.3">
      <c r="A28" s="163">
        <v>26</v>
      </c>
      <c r="B28" s="160" t="s">
        <v>137</v>
      </c>
      <c r="C28" s="170">
        <f>IF(PrecioDeVenta!C28&gt;0,PrecioDeVenta!C28-CostoTotal!C28,0)</f>
        <v>19.535477333333333</v>
      </c>
      <c r="D28" s="170">
        <f>IF(PrecioDeVenta!D28&gt;0,PrecioDeVenta!D28-CostoTotal!D28,0)</f>
        <v>55</v>
      </c>
      <c r="E28" s="170">
        <f>IF(PrecioDeVenta!E28&gt;0,PrecioDeVenta!E28-CostoTotal!E28,0)</f>
        <v>55</v>
      </c>
      <c r="F28" s="170">
        <f>IF(PrecioDeVenta!F28&gt;0,PrecioDeVenta!F28-CostoTotal!F28,0)</f>
        <v>65</v>
      </c>
      <c r="G28" s="170">
        <f>IF(PrecioDeVenta!G28&gt;0,PrecioDeVenta!G28-CostoTotal!G28,0)</f>
        <v>65</v>
      </c>
      <c r="H28" s="170">
        <f>IF(PrecioDeVenta!H28&gt;0,PrecioDeVenta!H28-CostoTotal!H28,0)</f>
        <v>70</v>
      </c>
      <c r="I28" s="170">
        <f>IF(PrecioDeVenta!I28&gt;0,PrecioDeVenta!I28-CostoTotal!I28,0)</f>
        <v>70</v>
      </c>
      <c r="J28" s="170">
        <f>IF(PrecioDeVenta!J28&gt;0,PrecioDeVenta!J28-CostoTotal!J28,0)</f>
        <v>70</v>
      </c>
      <c r="K28" s="170">
        <f>IF(PrecioDeVenta!K28&gt;0,PrecioDeVenta!K28-CostoTotal!K28,0)</f>
        <v>0</v>
      </c>
      <c r="L28" s="170">
        <f>IF(PrecioDeVenta!L28&gt;0,PrecioDeVenta!L28-CostoTotal!L28,0)</f>
        <v>80</v>
      </c>
      <c r="M28" s="170">
        <f>IF(PrecioDeVenta!M28&gt;0,PrecioDeVenta!M28-CostoTotal!M28,0)</f>
        <v>80</v>
      </c>
      <c r="N28" s="170">
        <f>IF(PrecioDeVenta!N28&gt;0,PrecioDeVenta!N28-CostoTotal!N28,0)</f>
        <v>80</v>
      </c>
      <c r="O28" s="170">
        <f>IF(PrecioDeVenta!O28&gt;0,PrecioDeVenta!O28-CostoTotal!O28,0)</f>
        <v>80</v>
      </c>
      <c r="P28" s="170">
        <f>IF(PrecioDeVenta!P28&gt;0,PrecioDeVenta!P28-CostoTotal!P28,0)</f>
        <v>80</v>
      </c>
      <c r="Q28" s="170">
        <f>IF(PrecioDeVenta!Q28&gt;0,PrecioDeVenta!Q28-CostoTotal!Q28,0)</f>
        <v>80</v>
      </c>
      <c r="R28" s="170">
        <f>IF(PrecioDeVenta!R28&gt;0,PrecioDeVenta!R28-CostoTotal!R28,0)</f>
        <v>0</v>
      </c>
    </row>
    <row r="29" spans="1:18" ht="20.25" customHeight="1" thickBot="1" x14ac:dyDescent="0.3">
      <c r="A29" s="162">
        <v>27</v>
      </c>
      <c r="B29" s="158" t="s">
        <v>125</v>
      </c>
      <c r="C29" s="170">
        <f>IF(PrecioDeVenta!C29&gt;0,PrecioDeVenta!C29-CostoTotal!C29,0)</f>
        <v>0</v>
      </c>
      <c r="D29" s="170">
        <f>IF(PrecioDeVenta!D29&gt;0,PrecioDeVenta!D29-CostoTotal!D29,0)</f>
        <v>0</v>
      </c>
      <c r="E29" s="170">
        <f>IF(PrecioDeVenta!E29&gt;0,PrecioDeVenta!E29-CostoTotal!E29,0)</f>
        <v>0</v>
      </c>
      <c r="F29" s="170">
        <f>IF(PrecioDeVenta!F29&gt;0,PrecioDeVenta!F29-CostoTotal!F29,0)</f>
        <v>0</v>
      </c>
      <c r="G29" s="170">
        <f>IF(PrecioDeVenta!G29&gt;0,PrecioDeVenta!G29-CostoTotal!G29,0)</f>
        <v>0</v>
      </c>
      <c r="H29" s="170">
        <f>IF(PrecioDeVenta!H29&gt;0,PrecioDeVenta!H29-CostoTotal!H29,0)</f>
        <v>0</v>
      </c>
      <c r="I29" s="170">
        <f>IF(PrecioDeVenta!I29&gt;0,PrecioDeVenta!I29-CostoTotal!I29,0)</f>
        <v>0</v>
      </c>
      <c r="J29" s="170">
        <f>IF(PrecioDeVenta!J29&gt;0,PrecioDeVenta!J29-CostoTotal!J29,0)</f>
        <v>0</v>
      </c>
      <c r="K29" s="170">
        <f>IF(PrecioDeVenta!K29&gt;0,PrecioDeVenta!K29-CostoTotal!K29,0)</f>
        <v>0</v>
      </c>
      <c r="L29" s="170">
        <f>IF(PrecioDeVenta!L29&gt;0,PrecioDeVenta!L29-CostoTotal!L29,0)</f>
        <v>0</v>
      </c>
      <c r="M29" s="170">
        <f>IF(PrecioDeVenta!M29&gt;0,PrecioDeVenta!M29-CostoTotal!M29,0)</f>
        <v>0</v>
      </c>
      <c r="N29" s="170">
        <f>IF(PrecioDeVenta!N29&gt;0,PrecioDeVenta!N29-CostoTotal!N29,0)</f>
        <v>0</v>
      </c>
      <c r="O29" s="170">
        <f>IF(PrecioDeVenta!O29&gt;0,PrecioDeVenta!O29-CostoTotal!O29,0)</f>
        <v>0</v>
      </c>
      <c r="P29" s="170">
        <f>IF(PrecioDeVenta!P29&gt;0,PrecioDeVenta!P29-CostoTotal!P29,0)</f>
        <v>0</v>
      </c>
      <c r="Q29" s="170">
        <f>IF(PrecioDeVenta!Q29&gt;0,PrecioDeVenta!Q29-CostoTotal!Q29,0)</f>
        <v>0</v>
      </c>
      <c r="R29" s="170">
        <f>IF(PrecioDeVenta!R29&gt;0,PrecioDeVenta!R29-CostoTotal!R29,0)</f>
        <v>0</v>
      </c>
    </row>
    <row r="30" spans="1:18" ht="20.25" customHeight="1" thickBot="1" x14ac:dyDescent="0.3">
      <c r="A30" s="159"/>
      <c r="B30" s="160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</row>
    <row r="31" spans="1:18" x14ac:dyDescent="0.25">
      <c r="B31" s="1" t="s">
        <v>159</v>
      </c>
      <c r="C31" s="164">
        <v>13</v>
      </c>
    </row>
  </sheetData>
  <conditionalFormatting sqref="C3:R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3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B542-6267-4957-B461-C25F7ECEFF7C}">
  <sheetPr codeName="Hoja13">
    <pageSetUpPr fitToPage="1"/>
  </sheetPr>
  <dimension ref="A1:R30"/>
  <sheetViews>
    <sheetView topLeftCell="A7" zoomScale="80" zoomScaleNormal="80" workbookViewId="0">
      <selection activeCell="J26" sqref="J26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1" spans="1:18" ht="20.25" customHeight="1" thickBot="1" x14ac:dyDescent="0.3">
      <c r="A1" s="217" t="s">
        <v>160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62">
        <v>1</v>
      </c>
      <c r="B3" s="23" t="s">
        <v>1</v>
      </c>
      <c r="C3" s="170">
        <f>IF(PrecioDeVenta!C3&gt;0,(UtilidadNeta!C3*100)/PrecioDeVenta!C3,0)</f>
        <v>0</v>
      </c>
      <c r="D3" s="170">
        <f>IF(PrecioDeVenta!D3&gt;0,(UtilidadNeta!D3*100)/PrecioDeVenta!D3,0)</f>
        <v>0</v>
      </c>
      <c r="E3" s="170">
        <f>IF(PrecioDeVenta!E3&gt;0,(UtilidadNeta!E3*100)/PrecioDeVenta!E3,0)</f>
        <v>0</v>
      </c>
      <c r="F3" s="170">
        <f>IF(PrecioDeVenta!F3&gt;0,(UtilidadNeta!F3*100)/PrecioDeVenta!F3,0)</f>
        <v>0</v>
      </c>
      <c r="G3" s="170">
        <f>IF(PrecioDeVenta!G3&gt;0,(UtilidadNeta!G3*100)/PrecioDeVenta!G3,0)</f>
        <v>0</v>
      </c>
      <c r="H3" s="170">
        <f>IF(PrecioDeVenta!H3&gt;0,(UtilidadNeta!H3*100)/PrecioDeVenta!H3,0)</f>
        <v>0</v>
      </c>
      <c r="I3" s="170">
        <f>IF(PrecioDeVenta!I3&gt;0,(UtilidadNeta!I3*100)/PrecioDeVenta!I3,0)</f>
        <v>0</v>
      </c>
      <c r="J3" s="170">
        <f>IF(PrecioDeVenta!J3&gt;0,(UtilidadNeta!J3*100)/PrecioDeVenta!J3,0)</f>
        <v>33.042089882565485</v>
      </c>
      <c r="K3" s="170">
        <f>IF(PrecioDeVenta!K3&gt;0,(UtilidadNeta!K3*100)/PrecioDeVenta!K3,0)</f>
        <v>35.10400813008129</v>
      </c>
      <c r="L3" s="170">
        <f>IF(PrecioDeVenta!L3&gt;0,(UtilidadNeta!L3*100)/PrecioDeVenta!L3,0)</f>
        <v>31.399232777064601</v>
      </c>
      <c r="M3" s="170">
        <f>IF(PrecioDeVenta!M3&gt;0,(UtilidadNeta!M3*100)/PrecioDeVenta!M3,0)</f>
        <v>33.787466260162589</v>
      </c>
      <c r="N3" s="170">
        <f>IF(PrecioDeVenta!N3&gt;0,(UtilidadNeta!N3*100)/PrecioDeVenta!N3,0)</f>
        <v>35.948248935346484</v>
      </c>
      <c r="O3" s="170">
        <f>IF(PrecioDeVenta!O3&gt;0,(UtilidadNeta!O3*100)/PrecioDeVenta!O3,0)</f>
        <v>35.286785520712357</v>
      </c>
      <c r="P3" s="170">
        <f>IF(PrecioDeVenta!P3&gt;0,(UtilidadNeta!P3*100)/PrecioDeVenta!P3,0)</f>
        <v>39.82692082007776</v>
      </c>
      <c r="Q3" s="170">
        <f>IF(PrecioDeVenta!Q3&gt;0,(UtilidadNeta!Q3*100)/PrecioDeVenta!Q3,0)</f>
        <v>41.69747391598915</v>
      </c>
      <c r="R3" s="170">
        <f>IF(PrecioDeVenta!R3&gt;0,(UtilidadNeta!R3*100)/PrecioDeVenta!R3,0)</f>
        <v>43.140568130081306</v>
      </c>
    </row>
    <row r="4" spans="1:18" ht="20.25" customHeight="1" thickBot="1" x14ac:dyDescent="0.3">
      <c r="A4" s="163">
        <v>2</v>
      </c>
      <c r="B4" s="25" t="s">
        <v>2</v>
      </c>
      <c r="C4" s="170">
        <f>IF(PrecioDeVenta!C4&gt;0,(UtilidadNeta!C4*100)/PrecioDeVenta!C4,0)</f>
        <v>30.607962962962969</v>
      </c>
      <c r="D4" s="170">
        <f>IF(PrecioDeVenta!D4&gt;0,(UtilidadNeta!D4*100)/PrecioDeVenta!D4,0)</f>
        <v>29.20796296296297</v>
      </c>
      <c r="E4" s="170">
        <f>IF(PrecioDeVenta!E4&gt;0,(UtilidadNeta!E4*100)/PrecioDeVenta!E4,0)</f>
        <v>31.607543859649127</v>
      </c>
      <c r="F4" s="170">
        <f>IF(PrecioDeVenta!F4&gt;0,(UtilidadNeta!F4*100)/PrecioDeVenta!F4,0)</f>
        <v>33.767166666666668</v>
      </c>
      <c r="G4" s="170">
        <f>IF(PrecioDeVenta!G4&gt;0,(UtilidadNeta!G4*100)/PrecioDeVenta!G4,0)</f>
        <v>35.721111111111107</v>
      </c>
      <c r="H4" s="170">
        <f>IF(PrecioDeVenta!H4&gt;0,(UtilidadNeta!H4*100)/PrecioDeVenta!H4,0)</f>
        <v>34.415606060606066</v>
      </c>
      <c r="I4" s="170">
        <f>IF(PrecioDeVenta!I4&gt;0,(UtilidadNeta!I4*100)/PrecioDeVenta!I4,0)</f>
        <v>36.171449275362313</v>
      </c>
      <c r="J4" s="170">
        <f>IF(PrecioDeVenta!J4&gt;0,(UtilidadNeta!J4*100)/PrecioDeVenta!J4,0)</f>
        <v>37.780972222222218</v>
      </c>
      <c r="K4" s="170">
        <f>IF(PrecioDeVenta!K4&gt;0,(UtilidadNeta!K4*100)/PrecioDeVenta!K4,0)</f>
        <v>0</v>
      </c>
      <c r="L4" s="170">
        <f>IF(PrecioDeVenta!L4&gt;0,(UtilidadNeta!L4*100)/PrecioDeVenta!L4,0)</f>
        <v>41.597820512820519</v>
      </c>
      <c r="M4" s="170">
        <f>IF(PrecioDeVenta!M4&gt;0,(UtilidadNeta!M4*100)/PrecioDeVenta!M4,0)</f>
        <v>37.151666666666671</v>
      </c>
      <c r="N4" s="170">
        <f>IF(PrecioDeVenta!N4&gt;0,(UtilidadNeta!N4*100)/PrecioDeVenta!N4,0)</f>
        <v>38.546049382716056</v>
      </c>
      <c r="O4" s="170">
        <f>IF(PrecioDeVenta!O4&gt;0,(UtilidadNeta!O4*100)/PrecioDeVenta!O4,0)</f>
        <v>39.840833333333329</v>
      </c>
      <c r="P4" s="170">
        <f>IF(PrecioDeVenta!P4&gt;0,(UtilidadNeta!P4*100)/PrecioDeVenta!P4,0)</f>
        <v>40.798045977011498</v>
      </c>
      <c r="Q4" s="170">
        <f>IF(PrecioDeVenta!Q4&gt;0,(UtilidadNeta!Q4*100)/PrecioDeVenta!Q4,0)</f>
        <v>45.448229166666671</v>
      </c>
    </row>
    <row r="5" spans="1:18" ht="20.25" customHeight="1" thickBot="1" x14ac:dyDescent="0.3">
      <c r="A5" s="162">
        <v>3</v>
      </c>
      <c r="B5" s="23" t="s">
        <v>138</v>
      </c>
      <c r="C5" s="170">
        <f>IF(PrecioDeVenta!C5&gt;0,(UtilidadNeta!C5*100)/PrecioDeVenta!C5,0)</f>
        <v>31.649033333333335</v>
      </c>
      <c r="D5" s="170">
        <f>IF(PrecioDeVenta!D5&gt;0,(UtilidadNeta!D5*100)/PrecioDeVenta!D5,0)</f>
        <v>30.389033333333344</v>
      </c>
      <c r="E5" s="170">
        <f>IF(PrecioDeVenta!E5&gt;0,(UtilidadNeta!E5*100)/PrecioDeVenta!E5,0)</f>
        <v>32.503841269841267</v>
      </c>
      <c r="F5" s="170">
        <f>IF(PrecioDeVenta!F5&gt;0,(UtilidadNeta!F5*100)/PrecioDeVenta!F5,0)</f>
        <v>34.42639393939394</v>
      </c>
      <c r="G5" s="170">
        <f>IF(PrecioDeVenta!G5&gt;0,(UtilidadNeta!G5*100)/PrecioDeVenta!G5,0)</f>
        <v>36.181768115942013</v>
      </c>
      <c r="H5" s="170">
        <f>IF(PrecioDeVenta!H5&gt;0,(UtilidadNeta!H5*100)/PrecioDeVenta!H5,0)</f>
        <v>34.965861111111103</v>
      </c>
      <c r="I5" s="170">
        <f>IF(PrecioDeVenta!I5&gt;0,(UtilidadNeta!I5*100)/PrecioDeVenta!I5,0)</f>
        <v>38.999256410256415</v>
      </c>
      <c r="J5" s="170">
        <f>IF(PrecioDeVenta!J5&gt;0,(UtilidadNeta!J5*100)/PrecioDeVenta!J5,0)</f>
        <v>44.440712643678154</v>
      </c>
      <c r="K5" s="170">
        <f>IF(PrecioDeVenta!K5&gt;0,(UtilidadNeta!K5*100)/PrecioDeVenta!K5,0)</f>
        <v>0</v>
      </c>
      <c r="L5" s="170">
        <f>IF(PrecioDeVenta!L5&gt;0,(UtilidadNeta!L5*100)/PrecioDeVenta!L5,0)</f>
        <v>43.571747126436783</v>
      </c>
      <c r="M5" s="170">
        <f>IF(PrecioDeVenta!M5&gt;0,(UtilidadNeta!M5*100)/PrecioDeVenta!M5,0)</f>
        <v>0</v>
      </c>
      <c r="N5" s="170">
        <f>IF(PrecioDeVenta!N5&gt;0,(UtilidadNeta!N5*100)/PrecioDeVenta!N5,0)</f>
        <v>0</v>
      </c>
      <c r="O5" s="170">
        <f>IF(PrecioDeVenta!O5&gt;0,(UtilidadNeta!O5*100)/PrecioDeVenta!O5,0)</f>
        <v>0</v>
      </c>
      <c r="P5" s="170">
        <f>IF(PrecioDeVenta!P5&gt;0,(UtilidadNeta!P5*100)/PrecioDeVenta!P5,0)</f>
        <v>0</v>
      </c>
      <c r="Q5" s="170">
        <f>IF(PrecioDeVenta!Q5&gt;0,(UtilidadNeta!Q5*100)/PrecioDeVenta!Q5,0)</f>
        <v>0</v>
      </c>
    </row>
    <row r="6" spans="1:18" ht="20.25" customHeight="1" thickBot="1" x14ac:dyDescent="0.3">
      <c r="A6" s="163">
        <v>4</v>
      </c>
      <c r="B6" s="25" t="s">
        <v>3</v>
      </c>
      <c r="C6" s="170">
        <f>IF(PrecioDeVenta!C6&gt;0,(UtilidadNeta!C6*100)/PrecioDeVenta!C6,0)</f>
        <v>0</v>
      </c>
      <c r="D6" s="170">
        <f>IF(PrecioDeVenta!D6&gt;0,(UtilidadNeta!D6*100)/PrecioDeVenta!D6,0)</f>
        <v>0</v>
      </c>
      <c r="E6" s="170">
        <f>IF(PrecioDeVenta!E6&gt;0,(UtilidadNeta!E6*100)/PrecioDeVenta!E6,0)</f>
        <v>0</v>
      </c>
      <c r="F6" s="170">
        <f>IF(PrecioDeVenta!F6&gt;0,(UtilidadNeta!F6*100)/PrecioDeVenta!F6,0)</f>
        <v>0</v>
      </c>
      <c r="G6" s="170">
        <f>IF(PrecioDeVenta!G6&gt;0,(UtilidadNeta!G6*100)/PrecioDeVenta!G6,0)</f>
        <v>0</v>
      </c>
      <c r="H6" s="170">
        <f>IF(PrecioDeVenta!H6&gt;0,(UtilidadNeta!H6*100)/PrecioDeVenta!H6,0)</f>
        <v>0</v>
      </c>
      <c r="I6" s="170">
        <f>IF(PrecioDeVenta!I6&gt;0,(UtilidadNeta!I6*100)/PrecioDeVenta!I6,0)</f>
        <v>0</v>
      </c>
      <c r="J6" s="170">
        <f>IF(PrecioDeVenta!J6&gt;0,(UtilidadNeta!J6*100)/PrecioDeVenta!J6,0)</f>
        <v>0</v>
      </c>
      <c r="K6" s="170">
        <f>IF(PrecioDeVenta!K6&gt;0,(UtilidadNeta!K6*100)/PrecioDeVenta!K6,0)</f>
        <v>67.293368627450974</v>
      </c>
      <c r="L6" s="170">
        <f>IF(PrecioDeVenta!L6&gt;0,(UtilidadNeta!L6*100)/PrecioDeVenta!L6,0)</f>
        <v>0</v>
      </c>
      <c r="M6" s="170">
        <f>IF(PrecioDeVenta!M6&gt;0,(UtilidadNeta!M6*100)/PrecioDeVenta!M6,0)</f>
        <v>0</v>
      </c>
      <c r="N6" s="170">
        <f>IF(PrecioDeVenta!N6&gt;0,(UtilidadNeta!N6*100)/PrecioDeVenta!N6,0)</f>
        <v>0</v>
      </c>
      <c r="O6" s="170">
        <f>IF(PrecioDeVenta!O6&gt;0,(UtilidadNeta!O6*100)/PrecioDeVenta!O6,0)</f>
        <v>0</v>
      </c>
      <c r="P6" s="170">
        <f>IF(PrecioDeVenta!P6&gt;0,(UtilidadNeta!P6*100)/PrecioDeVenta!P6,0)</f>
        <v>0</v>
      </c>
      <c r="Q6" s="170">
        <f>IF(PrecioDeVenta!Q6&gt;0,(UtilidadNeta!Q6*100)/PrecioDeVenta!Q6,0)</f>
        <v>0</v>
      </c>
    </row>
    <row r="7" spans="1:18" ht="20.25" customHeight="1" thickBot="1" x14ac:dyDescent="0.3">
      <c r="A7" s="162">
        <v>5</v>
      </c>
      <c r="B7" s="23" t="s">
        <v>5</v>
      </c>
      <c r="C7" s="170">
        <f>IF(PrecioDeVenta!C7&gt;0,(UtilidadNeta!C7*100)/PrecioDeVenta!C7,0)</f>
        <v>42.456495528455292</v>
      </c>
      <c r="D7" s="170">
        <f>IF(PrecioDeVenta!D7&gt;0,(UtilidadNeta!D7*100)/PrecioDeVenta!D7,0)</f>
        <v>39.539441869918697</v>
      </c>
      <c r="E7" s="170">
        <f>IF(PrecioDeVenta!E7&gt;0,(UtilidadNeta!E7*100)/PrecioDeVenta!E7,0)</f>
        <v>39.640369725125822</v>
      </c>
      <c r="F7" s="170">
        <f>IF(PrecioDeVenta!F7&gt;0,(UtilidadNeta!F7*100)/PrecioDeVenta!F7,0)</f>
        <v>39.605842941611236</v>
      </c>
      <c r="G7" s="170">
        <f>IF(PrecioDeVenta!G7&gt;0,(UtilidadNeta!G7*100)/PrecioDeVenta!G7,0)</f>
        <v>39.695107458465884</v>
      </c>
      <c r="H7" s="170">
        <f>IF(PrecioDeVenta!H7&gt;0,(UtilidadNeta!H7*100)/PrecioDeVenta!H7,0)</f>
        <v>42.122339899937458</v>
      </c>
      <c r="I7" s="170">
        <f>IF(PrecioDeVenta!I7&gt;0,(UtilidadNeta!I7*100)/PrecioDeVenta!I7,0)</f>
        <v>51.411693851626026</v>
      </c>
      <c r="J7" s="170">
        <f>IF(PrecioDeVenta!J7&gt;0,(UtilidadNeta!J7*100)/PrecioDeVenta!J7,0)</f>
        <v>55.421321364046968</v>
      </c>
      <c r="K7" s="170">
        <f>IF(PrecioDeVenta!K7&gt;0,(UtilidadNeta!K7*100)/PrecioDeVenta!K7,0)</f>
        <v>0</v>
      </c>
      <c r="L7" s="170">
        <f>IF(PrecioDeVenta!L7&gt;0,(UtilidadNeta!L7*100)/PrecioDeVenta!L7,0)</f>
        <v>51.675478545618788</v>
      </c>
      <c r="M7" s="170">
        <f>IF(PrecioDeVenta!M7&gt;0,(UtilidadNeta!M7*100)/PrecioDeVenta!M7,0)</f>
        <v>0</v>
      </c>
      <c r="N7" s="170">
        <f>IF(PrecioDeVenta!N7&gt;0,(UtilidadNeta!N7*100)/PrecioDeVenta!N7,0)</f>
        <v>0</v>
      </c>
      <c r="O7" s="170">
        <f>IF(PrecioDeVenta!O7&gt;0,(UtilidadNeta!O7*100)/PrecioDeVenta!O7,0)</f>
        <v>0</v>
      </c>
      <c r="P7" s="170">
        <f>IF(PrecioDeVenta!P7&gt;0,(UtilidadNeta!P7*100)/PrecioDeVenta!P7,0)</f>
        <v>0</v>
      </c>
      <c r="Q7" s="170">
        <f>IF(PrecioDeVenta!Q7&gt;0,(UtilidadNeta!Q7*100)/PrecioDeVenta!Q7,0)</f>
        <v>0</v>
      </c>
    </row>
    <row r="8" spans="1:18" ht="20.25" customHeight="1" thickBot="1" x14ac:dyDescent="0.3">
      <c r="A8" s="163">
        <v>6</v>
      </c>
      <c r="B8" s="25" t="s">
        <v>6</v>
      </c>
      <c r="C8" s="170">
        <f>IF(PrecioDeVenta!C8&gt;0,(UtilidadNeta!C8*100)/PrecioDeVenta!C8,0)</f>
        <v>46.688659820282403</v>
      </c>
      <c r="D8" s="170">
        <f>IF(PrecioDeVenta!D8&gt;0,(UtilidadNeta!D8*100)/PrecioDeVenta!D8,0)</f>
        <v>45.518913992297826</v>
      </c>
      <c r="E8" s="170">
        <f>IF(PrecioDeVenta!E8&gt;0,(UtilidadNeta!E8*100)/PrecioDeVenta!E8,0)</f>
        <v>46.714987804878049</v>
      </c>
      <c r="F8" s="170">
        <f>IF(PrecioDeVenta!F8&gt;0,(UtilidadNeta!F8*100)/PrecioDeVenta!F8,0)</f>
        <v>47.532564459930313</v>
      </c>
      <c r="G8" s="170">
        <f>IF(PrecioDeVenta!G8&gt;0,(UtilidadNeta!G8*100)/PrecioDeVenta!G8,0)</f>
        <v>47.644419068736148</v>
      </c>
      <c r="H8" s="170">
        <f>IF(PrecioDeVenta!H8&gt;0,(UtilidadNeta!H8*100)/PrecioDeVenta!H8,0)</f>
        <v>49.325949268292675</v>
      </c>
      <c r="I8" s="170">
        <f>IF(PrecioDeVenta!I8&gt;0,(UtilidadNeta!I8*100)/PrecioDeVenta!I8,0)</f>
        <v>57.215995121951224</v>
      </c>
      <c r="J8" s="170">
        <f>IF(PrecioDeVenta!J8&gt;0,(UtilidadNeta!J8*100)/PrecioDeVenta!J8,0)</f>
        <v>61.187175035868002</v>
      </c>
      <c r="K8" s="170">
        <f>IF(PrecioDeVenta!K8&gt;0,(UtilidadNeta!K8*100)/PrecioDeVenta!K8,0)</f>
        <v>0</v>
      </c>
      <c r="L8" s="170">
        <f>IF(PrecioDeVenta!L8&gt;0,(UtilidadNeta!L8*100)/PrecioDeVenta!L8,0)</f>
        <v>0</v>
      </c>
      <c r="M8" s="170">
        <f>IF(PrecioDeVenta!M8&gt;0,(UtilidadNeta!M8*100)/PrecioDeVenta!M8,0)</f>
        <v>0</v>
      </c>
      <c r="N8" s="170">
        <f>IF(PrecioDeVenta!N8&gt;0,(UtilidadNeta!N8*100)/PrecioDeVenta!N8,0)</f>
        <v>0</v>
      </c>
      <c r="O8" s="170">
        <f>IF(PrecioDeVenta!O8&gt;0,(UtilidadNeta!O8*100)/PrecioDeVenta!O8,0)</f>
        <v>0</v>
      </c>
      <c r="P8" s="170">
        <f>IF(PrecioDeVenta!P8&gt;0,(UtilidadNeta!P8*100)/PrecioDeVenta!P8,0)</f>
        <v>0</v>
      </c>
      <c r="Q8" s="170">
        <f>IF(PrecioDeVenta!Q8&gt;0,(UtilidadNeta!Q8*100)/PrecioDeVenta!Q8,0)</f>
        <v>0</v>
      </c>
    </row>
    <row r="9" spans="1:18" ht="20.25" customHeight="1" thickBot="1" x14ac:dyDescent="0.3">
      <c r="A9" s="162">
        <v>7</v>
      </c>
      <c r="B9" s="23" t="s">
        <v>7</v>
      </c>
      <c r="C9" s="170">
        <f>IF(PrecioDeVenta!C9&gt;0,(UtilidadNeta!C9*100)/PrecioDeVenta!C9,0)</f>
        <v>34.531007047619042</v>
      </c>
      <c r="D9" s="170">
        <f>IF(PrecioDeVenta!D9&gt;0,(UtilidadNeta!D9*100)/PrecioDeVenta!D9,0)</f>
        <v>33.347219047619056</v>
      </c>
      <c r="E9" s="170">
        <f>IF(PrecioDeVenta!E9&gt;0,(UtilidadNeta!E9*100)/PrecioDeVenta!E9,0)</f>
        <v>32.163431047619056</v>
      </c>
      <c r="F9" s="170">
        <f>IF(PrecioDeVenta!F9&gt;0,(UtilidadNeta!F9*100)/PrecioDeVenta!F9,0)</f>
        <v>38.275426166666662</v>
      </c>
      <c r="G9" s="170">
        <f>IF(PrecioDeVenta!G9&gt;0,(UtilidadNeta!G9*100)/PrecioDeVenta!G9,0)</f>
        <v>35.90785016666667</v>
      </c>
      <c r="H9" s="170">
        <f>IF(PrecioDeVenta!H9&gt;0,(UtilidadNeta!H9*100)/PrecioDeVenta!H9,0)</f>
        <v>35.167982666666674</v>
      </c>
      <c r="I9" s="170">
        <f>IF(PrecioDeVenta!I9&gt;0,(UtilidadNeta!I9*100)/PrecioDeVenta!I9,0)</f>
        <v>41.713880148148149</v>
      </c>
      <c r="J9" s="170">
        <f>IF(PrecioDeVenta!J9&gt;0,(UtilidadNeta!J9*100)/PrecioDeVenta!J9,0)</f>
        <v>40.793156148148149</v>
      </c>
      <c r="K9" s="170">
        <f>IF(PrecioDeVenta!K9&gt;0,(UtilidadNeta!K9*100)/PrecioDeVenta!K9,0)</f>
        <v>0</v>
      </c>
      <c r="L9" s="170">
        <f>IF(PrecioDeVenta!L9&gt;0,(UtilidadNeta!L9*100)/PrecioDeVenta!L9,0)</f>
        <v>45.885188933333318</v>
      </c>
      <c r="M9" s="170">
        <f>IF(PrecioDeVenta!M9&gt;0,(UtilidadNeta!M9*100)/PrecioDeVenta!M9,0)</f>
        <v>45.056537333333338</v>
      </c>
      <c r="N9" s="170">
        <f>IF(PrecioDeVenta!N9&gt;0,(UtilidadNeta!N9*100)/PrecioDeVenta!N9,0)</f>
        <v>44.227885733333331</v>
      </c>
      <c r="O9" s="170">
        <f>IF(PrecioDeVenta!O9&gt;0,(UtilidadNeta!O9*100)/PrecioDeVenta!O9,0)</f>
        <v>45.869025269841266</v>
      </c>
      <c r="P9" s="170">
        <f>IF(PrecioDeVenta!P9&gt;0,(UtilidadNeta!P9*100)/PrecioDeVenta!P9,0)</f>
        <v>44.854349841269837</v>
      </c>
      <c r="Q9" s="170">
        <f>IF(PrecioDeVenta!Q9&gt;0,(UtilidadNeta!Q9*100)/PrecioDeVenta!Q9,0)</f>
        <v>42.712257269841267</v>
      </c>
    </row>
    <row r="10" spans="1:18" ht="20.25" customHeight="1" thickBot="1" x14ac:dyDescent="0.3">
      <c r="A10" s="163">
        <v>8</v>
      </c>
      <c r="B10" s="25" t="s">
        <v>133</v>
      </c>
      <c r="C10" s="170">
        <f>IF(PrecioDeVenta!C10&gt;0,(UtilidadNeta!C10*100)/PrecioDeVenta!C10,0)</f>
        <v>38.945986999999995</v>
      </c>
      <c r="D10" s="170">
        <f>IF(PrecioDeVenta!D10&gt;0,(UtilidadNeta!D10*100)/PrecioDeVenta!D10,0)</f>
        <v>37.910172500000002</v>
      </c>
      <c r="E10" s="170">
        <f>IF(PrecioDeVenta!E10&gt;0,(UtilidadNeta!E10*100)/PrecioDeVenta!E10,0)</f>
        <v>36.874358000000001</v>
      </c>
      <c r="F10" s="170">
        <f>IF(PrecioDeVenta!F10&gt;0,(UtilidadNeta!F10*100)/PrecioDeVenta!F10,0)</f>
        <v>41.783806222222218</v>
      </c>
      <c r="G10" s="170">
        <f>IF(PrecioDeVenta!G10&gt;0,(UtilidadNeta!G10*100)/PrecioDeVenta!G10,0)</f>
        <v>38.363974222222218</v>
      </c>
      <c r="H10" s="170">
        <f>IF(PrecioDeVenta!H10&gt;0,(UtilidadNeta!H10*100)/PrecioDeVenta!H10,0)</f>
        <v>37.706314222222233</v>
      </c>
      <c r="I10" s="170">
        <f>IF(PrecioDeVenta!I10&gt;0,(UtilidadNeta!I10*100)/PrecioDeVenta!I10,0)</f>
        <v>43.343788799999999</v>
      </c>
      <c r="J10" s="170">
        <f>IF(PrecioDeVenta!J10&gt;0,(UtilidadNeta!J10*100)/PrecioDeVenta!J10,0)</f>
        <v>42.515137200000005</v>
      </c>
      <c r="K10" s="170">
        <f>IF(PrecioDeVenta!K10&gt;0,(UtilidadNeta!K10*100)/PrecioDeVenta!K10,0)</f>
        <v>0</v>
      </c>
      <c r="L10" s="170">
        <f>IF(PrecioDeVenta!L10&gt;0,(UtilidadNeta!L10*100)/PrecioDeVenta!L10,0)</f>
        <v>43.899611047619054</v>
      </c>
      <c r="M10" s="170">
        <f>IF(PrecioDeVenta!M10&gt;0,(UtilidadNeta!M10*100)/PrecioDeVenta!M10,0)</f>
        <v>43.110419047619047</v>
      </c>
      <c r="N10" s="170">
        <f>IF(PrecioDeVenta!N10&gt;0,(UtilidadNeta!N10*100)/PrecioDeVenta!N10,0)</f>
        <v>42.321227047619054</v>
      </c>
      <c r="O10" s="170">
        <f>IF(PrecioDeVenta!O10&gt;0,(UtilidadNeta!O10*100)/PrecioDeVenta!O10,0)</f>
        <v>46.410329739130439</v>
      </c>
      <c r="P10" s="170">
        <f>IF(PrecioDeVenta!P10&gt;0,(UtilidadNeta!P10*100)/PrecioDeVenta!P10,0)</f>
        <v>45.483886956521737</v>
      </c>
      <c r="Q10" s="170">
        <f>IF(PrecioDeVenta!Q10&gt;0,(UtilidadNeta!Q10*100)/PrecioDeVenta!Q10,0)</f>
        <v>43.528063304347818</v>
      </c>
    </row>
    <row r="11" spans="1:18" ht="20.25" customHeight="1" thickBot="1" x14ac:dyDescent="0.3">
      <c r="A11" s="162">
        <v>9</v>
      </c>
      <c r="B11" s="23" t="s">
        <v>8</v>
      </c>
      <c r="C11" s="170">
        <f>IF(PrecioDeVenta!C11&gt;0,(UtilidadNeta!C11*100)/PrecioDeVenta!C11,0)</f>
        <v>62.813799648753069</v>
      </c>
      <c r="D11" s="170">
        <f>IF(PrecioDeVenta!D11&gt;0,(UtilidadNeta!D11*100)/PrecioDeVenta!D11,0)</f>
        <v>62.35656044959606</v>
      </c>
      <c r="E11" s="170">
        <f>IF(PrecioDeVenta!E11&gt;0,(UtilidadNeta!E11*100)/PrecioDeVenta!E11,0)</f>
        <v>64.620798303979115</v>
      </c>
      <c r="F11" s="170">
        <f>IF(PrecioDeVenta!F11&gt;0,(UtilidadNeta!F11*100)/PrecioDeVenta!F11,0)</f>
        <v>64.302363861709068</v>
      </c>
      <c r="G11" s="170">
        <f>IF(PrecioDeVenta!G11&gt;0,(UtilidadNeta!G11*100)/PrecioDeVenta!G11,0)</f>
        <v>66.385000791476401</v>
      </c>
      <c r="H11" s="170">
        <f>IF(PrecioDeVenta!H11&gt;0,(UtilidadNeta!H11*100)/PrecioDeVenta!H11,0)</f>
        <v>65.889658325722976</v>
      </c>
      <c r="I11" s="170">
        <f>IF(PrecioDeVenta!I11&gt;0,(UtilidadNeta!I11*100)/PrecioDeVenta!I11,0)</f>
        <v>69.02850593607306</v>
      </c>
      <c r="J11" s="170">
        <f>IF(PrecioDeVenta!J11&gt;0,(UtilidadNeta!J11*100)/PrecioDeVenta!J11,0)</f>
        <v>68.329198925597638</v>
      </c>
      <c r="K11" s="170">
        <f>IF(PrecioDeVenta!K11&gt;0,(UtilidadNeta!K11*100)/PrecioDeVenta!K11,0)</f>
        <v>0</v>
      </c>
      <c r="L11" s="170">
        <f>IF(PrecioDeVenta!L11&gt;0,(UtilidadNeta!L11*100)/PrecioDeVenta!L11,0)</f>
        <v>69.510788330796544</v>
      </c>
      <c r="M11" s="170">
        <f>IF(PrecioDeVenta!M11&gt;0,(UtilidadNeta!M11*100)/PrecioDeVenta!M11,0)</f>
        <v>69.015445865043134</v>
      </c>
      <c r="N11" s="170">
        <f>IF(PrecioDeVenta!N11&gt;0,(UtilidadNeta!N11*100)/PrecioDeVenta!N11,0)</f>
        <v>68.520103399289695</v>
      </c>
      <c r="O11" s="170">
        <f>IF(PrecioDeVenta!O11&gt;0,(UtilidadNeta!O11*100)/PrecioDeVenta!O11,0)</f>
        <v>69.785880221100697</v>
      </c>
      <c r="P11" s="170">
        <f>IF(PrecioDeVenta!P11&gt;0,(UtilidadNeta!P11*100)/PrecioDeVenta!P11,0)</f>
        <v>69.081972506608977</v>
      </c>
      <c r="Q11" s="170">
        <f>IF(PrecioDeVenta!Q11&gt;0,(UtilidadNeta!Q11*100)/PrecioDeVenta!Q11,0)</f>
        <v>68.456276760394132</v>
      </c>
    </row>
    <row r="12" spans="1:18" ht="20.25" customHeight="1" thickBot="1" x14ac:dyDescent="0.3">
      <c r="A12" s="163">
        <v>10</v>
      </c>
      <c r="B12" s="25" t="s">
        <v>134</v>
      </c>
      <c r="C12" s="170">
        <f>IF(PrecioDeVenta!C12&gt;0,(UtilidadNeta!C12*100)/PrecioDeVenta!C12,0)</f>
        <v>54.76152205128205</v>
      </c>
      <c r="D12" s="170">
        <f>IF(PrecioDeVenta!D12&gt;0,(UtilidadNeta!D12*100)/PrecioDeVenta!D12,0)</f>
        <v>52.959085128205132</v>
      </c>
      <c r="E12" s="170">
        <f>IF(PrecioDeVenta!E12&gt;0,(UtilidadNeta!E12*100)/PrecioDeVenta!E12,0)</f>
        <v>54.645459047619049</v>
      </c>
      <c r="F12" s="170">
        <f>IF(PrecioDeVenta!F12&gt;0,(UtilidadNeta!F12*100)/PrecioDeVenta!F12,0)</f>
        <v>52.971767619047611</v>
      </c>
      <c r="G12" s="170">
        <f>IF(PrecioDeVenta!G12&gt;0,(UtilidadNeta!G12*100)/PrecioDeVenta!G12,0)</f>
        <v>54.544871111111107</v>
      </c>
      <c r="H12" s="170">
        <f>IF(PrecioDeVenta!H12&gt;0,(UtilidadNeta!H12*100)/PrecioDeVenta!H12,0)</f>
        <v>49.969425777777779</v>
      </c>
      <c r="I12" s="170">
        <f>IF(PrecioDeVenta!I12&gt;0,(UtilidadNeta!I12*100)/PrecioDeVenta!I12,0)</f>
        <v>54.477041568627456</v>
      </c>
      <c r="J12" s="170">
        <f>IF(PrecioDeVenta!J12&gt;0,(UtilidadNeta!J12*100)/PrecioDeVenta!J12,0)</f>
        <v>53.098707450980392</v>
      </c>
      <c r="K12" s="170">
        <f>IF(PrecioDeVenta!K12&gt;0,(UtilidadNeta!K12*100)/PrecioDeVenta!K12,0)</f>
        <v>0</v>
      </c>
      <c r="L12" s="170">
        <f>IF(PrecioDeVenta!L12&gt;0,(UtilidadNeta!L12*100)/PrecioDeVenta!L12,0)</f>
        <v>54.402574814814798</v>
      </c>
      <c r="M12" s="170">
        <f>IF(PrecioDeVenta!M12&gt;0,(UtilidadNeta!M12*100)/PrecioDeVenta!M12,0)</f>
        <v>53.100814814814818</v>
      </c>
      <c r="N12" s="170">
        <f>IF(PrecioDeVenta!N12&gt;0,(UtilidadNeta!N12*100)/PrecioDeVenta!N12,0)</f>
        <v>51.473614814814809</v>
      </c>
      <c r="O12" s="170">
        <f>IF(PrecioDeVenta!O12&gt;0,(UtilidadNeta!O12*100)/PrecioDeVenta!O12,0)</f>
        <v>52.486077192982457</v>
      </c>
      <c r="P12" s="170">
        <f>IF(PrecioDeVenta!P12&gt;0,(UtilidadNeta!P12*100)/PrecioDeVenta!P12,0)</f>
        <v>51.098675087719286</v>
      </c>
      <c r="Q12" s="170">
        <f>IF(PrecioDeVenta!Q12&gt;0,(UtilidadNeta!Q12*100)/PrecioDeVenta!Q12,0)</f>
        <v>49.402961403508762</v>
      </c>
    </row>
    <row r="13" spans="1:18" ht="20.25" customHeight="1" thickBot="1" x14ac:dyDescent="0.3">
      <c r="A13" s="162">
        <v>11</v>
      </c>
      <c r="B13" s="23" t="s">
        <v>135</v>
      </c>
      <c r="C13" s="170">
        <f>IF(PrecioDeVenta!C13&gt;0,(UtilidadNeta!C13*100)/PrecioDeVenta!C13,0)</f>
        <v>62.369334736842106</v>
      </c>
      <c r="D13" s="170">
        <f>IF(PrecioDeVenta!D13&gt;0,(UtilidadNeta!D13*100)/PrecioDeVenta!D13,0)</f>
        <v>60.365309473684214</v>
      </c>
      <c r="E13" s="170">
        <f>IF(PrecioDeVenta!E13&gt;0,(UtilidadNeta!E13*100)/PrecioDeVenta!E13,0)</f>
        <v>58.361284210526314</v>
      </c>
      <c r="F13" s="170">
        <f>IF(PrecioDeVenta!F13&gt;0,(UtilidadNeta!F13*100)/PrecioDeVenta!F13,0)</f>
        <v>58.978739999999995</v>
      </c>
      <c r="G13" s="170">
        <f>IF(PrecioDeVenta!G13&gt;0,(UtilidadNeta!G13*100)/PrecioDeVenta!G13,0)</f>
        <v>57.514260000000007</v>
      </c>
      <c r="H13" s="170">
        <f>IF(PrecioDeVenta!H13&gt;0,(UtilidadNeta!H13*100)/PrecioDeVenta!H13,0)</f>
        <v>44.563556000000005</v>
      </c>
      <c r="I13" s="170">
        <f>IF(PrecioDeVenta!I13&gt;0,(UtilidadNeta!I13*100)/PrecioDeVenta!I13,0)</f>
        <v>44.134952380952384</v>
      </c>
      <c r="J13" s="170">
        <f>IF(PrecioDeVenta!J13&gt;0,(UtilidadNeta!J13*100)/PrecioDeVenta!J13,0)</f>
        <v>42.461260952380947</v>
      </c>
      <c r="K13" s="170">
        <f>IF(PrecioDeVenta!K13&gt;0,(UtilidadNeta!K13*100)/PrecioDeVenta!K13,0)</f>
        <v>0</v>
      </c>
      <c r="L13" s="170">
        <f>IF(PrecioDeVenta!L13&gt;0,(UtilidadNeta!L13*100)/PrecioDeVenta!L13,0)</f>
        <v>43.212774545454536</v>
      </c>
      <c r="M13" s="170">
        <f>IF(PrecioDeVenta!M13&gt;0,(UtilidadNeta!M13*100)/PrecioDeVenta!M13,0)</f>
        <v>40.625690909090906</v>
      </c>
      <c r="N13" s="170">
        <f>IF(PrecioDeVenta!N13&gt;0,(UtilidadNeta!N13*100)/PrecioDeVenta!N13,0)</f>
        <v>40.226287272727262</v>
      </c>
      <c r="O13" s="170">
        <f>IF(PrecioDeVenta!O13&gt;0,(UtilidadNeta!O13*100)/PrecioDeVenta!O13,0)</f>
        <v>41.933721739130441</v>
      </c>
      <c r="P13" s="170">
        <f>IF(PrecioDeVenta!P13&gt;0,(UtilidadNeta!P13*100)/PrecioDeVenta!P13,0)</f>
        <v>40.0235304347826</v>
      </c>
      <c r="Q13" s="170">
        <f>IF(PrecioDeVenta!Q13&gt;0,(UtilidadNeta!Q13*100)/PrecioDeVenta!Q13,0)</f>
        <v>38.368031304347831</v>
      </c>
    </row>
    <row r="14" spans="1:18" ht="20.25" customHeight="1" thickBot="1" x14ac:dyDescent="0.3">
      <c r="A14" s="163">
        <v>12</v>
      </c>
      <c r="B14" s="25" t="s">
        <v>9</v>
      </c>
      <c r="C14" s="170">
        <f>IF(PrecioDeVenta!C14&gt;0,(UtilidadNeta!C14*100)/PrecioDeVenta!C14,0)</f>
        <v>0</v>
      </c>
      <c r="D14" s="170">
        <f>IF(PrecioDeVenta!D14&gt;0,(UtilidadNeta!D14*100)/PrecioDeVenta!D14,0)</f>
        <v>0</v>
      </c>
      <c r="E14" s="170">
        <f>IF(PrecioDeVenta!E14&gt;0,(UtilidadNeta!E14*100)/PrecioDeVenta!E14,0)</f>
        <v>0</v>
      </c>
      <c r="F14" s="170">
        <f>IF(PrecioDeVenta!F14&gt;0,(UtilidadNeta!F14*100)/PrecioDeVenta!F14,0)</f>
        <v>0</v>
      </c>
      <c r="G14" s="170">
        <f>IF(PrecioDeVenta!G14&gt;0,(UtilidadNeta!G14*100)/PrecioDeVenta!G14,0)</f>
        <v>0</v>
      </c>
      <c r="H14" s="170">
        <f>IF(PrecioDeVenta!H14&gt;0,(UtilidadNeta!H14*100)/PrecioDeVenta!H14,0)</f>
        <v>0</v>
      </c>
      <c r="I14" s="170">
        <f>IF(PrecioDeVenta!I14&gt;0,(UtilidadNeta!I14*100)/PrecioDeVenta!I14,0)</f>
        <v>0</v>
      </c>
      <c r="J14" s="170">
        <f>IF(PrecioDeVenta!J14&gt;0,(UtilidadNeta!J14*100)/PrecioDeVenta!J14,0)</f>
        <v>56.219135049683821</v>
      </c>
      <c r="K14" s="170">
        <f>IF(PrecioDeVenta!K14&gt;0,(UtilidadNeta!K14*100)/PrecioDeVenta!K14,0)</f>
        <v>54.907232610659435</v>
      </c>
      <c r="L14" s="170">
        <f>IF(PrecioDeVenta!L14&gt;0,(UtilidadNeta!L14*100)/PrecioDeVenta!L14,0)</f>
        <v>53.595330171635041</v>
      </c>
      <c r="M14" s="170">
        <f>IF(PrecioDeVenta!M14&gt;0,(UtilidadNeta!M14*100)/PrecioDeVenta!M14,0)</f>
        <v>54.941044501497629</v>
      </c>
      <c r="N14" s="170">
        <f>IF(PrecioDeVenta!N14&gt;0,(UtilidadNeta!N14*100)/PrecioDeVenta!N14,0)</f>
        <v>56.360548373983733</v>
      </c>
      <c r="O14" s="170">
        <f>IF(PrecioDeVenta!O14&gt;0,(UtilidadNeta!O14*100)/PrecioDeVenta!O14,0)</f>
        <v>58.04173945025164</v>
      </c>
      <c r="P14" s="170">
        <f>IF(PrecioDeVenta!P14&gt;0,(UtilidadNeta!P14*100)/PrecioDeVenta!P14,0)</f>
        <v>59.506955284552831</v>
      </c>
      <c r="Q14" s="170">
        <f>IF(PrecioDeVenta!Q14&gt;0,(UtilidadNeta!Q14*100)/PrecioDeVenta!Q14,0)</f>
        <v>60.663577589254139</v>
      </c>
    </row>
    <row r="15" spans="1:18" ht="20.25" customHeight="1" thickBot="1" x14ac:dyDescent="0.3">
      <c r="A15" s="162">
        <v>13</v>
      </c>
      <c r="B15" s="23" t="s">
        <v>10</v>
      </c>
      <c r="C15" s="170">
        <f>IF(PrecioDeVenta!C15&gt;0,(UtilidadNeta!C15*100)/PrecioDeVenta!C15,0)</f>
        <v>37.007962962962957</v>
      </c>
      <c r="D15" s="170">
        <f>IF(PrecioDeVenta!D15&gt;0,(UtilidadNeta!D15*100)/PrecioDeVenta!D15,0)</f>
        <v>35.807962962962975</v>
      </c>
      <c r="E15" s="170">
        <f>IF(PrecioDeVenta!E15&gt;0,(UtilidadNeta!E15*100)/PrecioDeVenta!E15,0)</f>
        <v>38.239122807017537</v>
      </c>
      <c r="F15" s="170">
        <f>IF(PrecioDeVenta!F15&gt;0,(UtilidadNeta!F15*100)/PrecioDeVenta!F15,0)</f>
        <v>38.807166666666667</v>
      </c>
      <c r="G15" s="170">
        <f>IF(PrecioDeVenta!G15&gt;0,(UtilidadNeta!G15*100)/PrecioDeVenta!G15,0)</f>
        <v>40.006825396825413</v>
      </c>
      <c r="H15" s="170">
        <f>IF(PrecioDeVenta!H15&gt;0,(UtilidadNeta!H15*100)/PrecioDeVenta!H15,0)</f>
        <v>38.506515151515153</v>
      </c>
      <c r="I15" s="170">
        <f>IF(PrecioDeVenta!I15&gt;0,(UtilidadNeta!I15*100)/PrecioDeVenta!I15,0)</f>
        <v>40.867101449275367</v>
      </c>
      <c r="J15" s="170">
        <f>IF(PrecioDeVenta!J15&gt;0,(UtilidadNeta!J15*100)/PrecioDeVenta!J15,0)</f>
        <v>42.580972222222222</v>
      </c>
      <c r="K15" s="170">
        <f>IF(PrecioDeVenta!K15&gt;0,(UtilidadNeta!K15*100)/PrecioDeVenta!K15,0)</f>
        <v>44.01373333333332</v>
      </c>
      <c r="L15" s="170">
        <f>IF(PrecioDeVenta!L15&gt;0,(UtilidadNeta!L15*100)/PrecioDeVenta!L15,0)</f>
        <v>42.413205128205135</v>
      </c>
      <c r="M15" s="170">
        <f>IF(PrecioDeVenta!M15&gt;0,(UtilidadNeta!M15*100)/PrecioDeVenta!M15,0)</f>
        <v>41.99782051282051</v>
      </c>
      <c r="N15" s="170">
        <f>IF(PrecioDeVenta!N15&gt;0,(UtilidadNeta!N15*100)/PrecioDeVenta!N15,0)</f>
        <v>43.879382716049392</v>
      </c>
      <c r="O15" s="170">
        <f>IF(PrecioDeVenta!O15&gt;0,(UtilidadNeta!O15*100)/PrecioDeVenta!O15,0)</f>
        <v>44.855119047619048</v>
      </c>
      <c r="P15" s="170">
        <f>IF(PrecioDeVenta!P15&gt;0,(UtilidadNeta!P15*100)/PrecioDeVenta!P15,0)</f>
        <v>47.931444444444452</v>
      </c>
      <c r="Q15" s="170">
        <f>IF(PrecioDeVenta!Q15&gt;0,(UtilidadNeta!Q15*100)/PrecioDeVenta!Q15,0)</f>
        <v>50.623229166666661</v>
      </c>
    </row>
    <row r="16" spans="1:18" ht="20.25" customHeight="1" thickBot="1" x14ac:dyDescent="0.3">
      <c r="A16" s="162">
        <v>14</v>
      </c>
      <c r="B16" s="23" t="s">
        <v>171</v>
      </c>
      <c r="C16" s="170">
        <f>IF(PrecioDeVenta!C16&gt;0,(UtilidadNeta!C16*100)/PrecioDeVenta!C16,0)</f>
        <v>41.238700000000001</v>
      </c>
      <c r="D16" s="170">
        <f>IF(PrecioDeVenta!D16&gt;0,(UtilidadNeta!D16*100)/PrecioDeVenta!D16,0)</f>
        <v>40.158700000000003</v>
      </c>
      <c r="E16" s="170">
        <f>IF(PrecioDeVenta!E16&gt;0,(UtilidadNeta!E16*100)/PrecioDeVenta!E16,0)</f>
        <v>42.151142857142865</v>
      </c>
      <c r="F16" s="170">
        <f>IF(PrecioDeVenta!F16&gt;0,(UtilidadNeta!F16*100)/PrecioDeVenta!F16,0)</f>
        <v>42.489727272727272</v>
      </c>
      <c r="G16" s="170">
        <f>IF(PrecioDeVenta!G16&gt;0,(UtilidadNeta!G16*100)/PrecioDeVenta!G16,0)</f>
        <v>43.268434782608701</v>
      </c>
      <c r="H16" s="170">
        <f>IF(PrecioDeVenta!H16&gt;0,(UtilidadNeta!H16*100)/PrecioDeVenta!H16,0)</f>
        <v>41.757249999999999</v>
      </c>
      <c r="I16" s="170">
        <f>IF(PrecioDeVenta!I16&gt;0,(UtilidadNeta!I16*100)/PrecioDeVenta!I16,0)</f>
        <v>43.798960000000001</v>
      </c>
      <c r="J16" s="170">
        <f>IF(PrecioDeVenta!J16&gt;0,(UtilidadNeta!J16*100)/PrecioDeVenta!J16,0)</f>
        <v>45.268230769230762</v>
      </c>
      <c r="K16" s="170">
        <f>IF(PrecioDeVenta!K16&gt;0,(UtilidadNeta!K16*100)/PrecioDeVenta!K16,0)</f>
        <v>0</v>
      </c>
      <c r="L16" s="170">
        <f>IF(PrecioDeVenta!L16&gt;0,(UtilidadNeta!L16*100)/PrecioDeVenta!L16,0)</f>
        <v>0</v>
      </c>
      <c r="M16" s="170">
        <f>IF(PrecioDeVenta!M16&gt;0,(UtilidadNeta!M16*100)/PrecioDeVenta!M16,0)</f>
        <v>0</v>
      </c>
      <c r="N16" s="170">
        <f>IF(PrecioDeVenta!N16&gt;0,(UtilidadNeta!N16*100)/PrecioDeVenta!N16,0)</f>
        <v>0</v>
      </c>
      <c r="O16" s="170">
        <f>IF(PrecioDeVenta!O16&gt;0,(UtilidadNeta!O16*100)/PrecioDeVenta!O16,0)</f>
        <v>0</v>
      </c>
      <c r="P16" s="170">
        <f>IF(PrecioDeVenta!P16&gt;0,(UtilidadNeta!P16*100)/PrecioDeVenta!P16,0)</f>
        <v>0</v>
      </c>
      <c r="Q16" s="170">
        <f>IF(PrecioDeVenta!Q16&gt;0,(UtilidadNeta!Q16*100)/PrecioDeVenta!Q16,0)</f>
        <v>0</v>
      </c>
    </row>
    <row r="17" spans="1:17" ht="20.25" customHeight="1" thickBot="1" x14ac:dyDescent="0.3">
      <c r="A17" s="163">
        <v>15</v>
      </c>
      <c r="B17" s="25" t="s">
        <v>11</v>
      </c>
      <c r="C17" s="170">
        <f>IF(PrecioDeVenta!C17&gt;0,(UtilidadNeta!C17*100)/PrecioDeVenta!C17,0)</f>
        <v>56.181955182072826</v>
      </c>
      <c r="D17" s="170">
        <f>IF(PrecioDeVenta!D17&gt;0,(UtilidadNeta!D17*100)/PrecioDeVenta!D17,0)</f>
        <v>0</v>
      </c>
      <c r="E17" s="170">
        <f>IF(PrecioDeVenta!E17&gt;0,(UtilidadNeta!E17*100)/PrecioDeVenta!E17,0)</f>
        <v>0</v>
      </c>
      <c r="F17" s="170">
        <f>IF(PrecioDeVenta!F17&gt;0,(UtilidadNeta!F17*100)/PrecioDeVenta!F17,0)</f>
        <v>0</v>
      </c>
      <c r="G17" s="170">
        <f>IF(PrecioDeVenta!G17&gt;0,(UtilidadNeta!G17*100)/PrecioDeVenta!G17,0)</f>
        <v>0</v>
      </c>
      <c r="H17" s="170">
        <f>IF(PrecioDeVenta!H17&gt;0,(UtilidadNeta!H17*100)/PrecioDeVenta!H17,0)</f>
        <v>0</v>
      </c>
      <c r="I17" s="170">
        <f>IF(PrecioDeVenta!I17&gt;0,(UtilidadNeta!I17*100)/PrecioDeVenta!I17,0)</f>
        <v>0</v>
      </c>
      <c r="J17" s="170">
        <f>IF(PrecioDeVenta!J17&gt;0,(UtilidadNeta!J17*100)/PrecioDeVenta!J17,0)</f>
        <v>0</v>
      </c>
      <c r="K17" s="170">
        <f>IF(PrecioDeVenta!K17&gt;0,(UtilidadNeta!K17*100)/PrecioDeVenta!K17,0)</f>
        <v>0</v>
      </c>
      <c r="L17" s="170">
        <f>IF(PrecioDeVenta!L17&gt;0,(UtilidadNeta!L17*100)/PrecioDeVenta!L17,0)</f>
        <v>0</v>
      </c>
      <c r="M17" s="170">
        <f>IF(PrecioDeVenta!M17&gt;0,(UtilidadNeta!M17*100)/PrecioDeVenta!M17,0)</f>
        <v>0</v>
      </c>
      <c r="N17" s="170">
        <f>IF(PrecioDeVenta!N17&gt;0,(UtilidadNeta!N17*100)/PrecioDeVenta!N17,0)</f>
        <v>0</v>
      </c>
      <c r="O17" s="170">
        <f>IF(PrecioDeVenta!O17&gt;0,(UtilidadNeta!O17*100)/PrecioDeVenta!O17,0)</f>
        <v>0</v>
      </c>
      <c r="P17" s="170">
        <f>IF(PrecioDeVenta!P17&gt;0,(UtilidadNeta!P17*100)/PrecioDeVenta!P17,0)</f>
        <v>0</v>
      </c>
      <c r="Q17" s="170">
        <f>IF(PrecioDeVenta!Q17&gt;0,(UtilidadNeta!Q17*100)/PrecioDeVenta!Q17,0)</f>
        <v>0</v>
      </c>
    </row>
    <row r="18" spans="1:17" ht="20.25" customHeight="1" thickBot="1" x14ac:dyDescent="0.3">
      <c r="A18" s="162">
        <v>16</v>
      </c>
      <c r="B18" s="23" t="s">
        <v>12</v>
      </c>
      <c r="C18" s="170">
        <f>IF(PrecioDeVenta!C18&gt;0,(UtilidadNeta!C18*100)/PrecioDeVenta!C18,0)</f>
        <v>26.220601307189536</v>
      </c>
      <c r="D18" s="170">
        <f>IF(PrecioDeVenta!D18&gt;0,(UtilidadNeta!D18*100)/PrecioDeVenta!D18,0)</f>
        <v>30.971546462063081</v>
      </c>
      <c r="E18" s="170">
        <f>IF(PrecioDeVenta!E18&gt;0,(UtilidadNeta!E18*100)/PrecioDeVenta!E18,0)</f>
        <v>29.306891730605276</v>
      </c>
      <c r="F18" s="170">
        <f>IF(PrecioDeVenta!F18&gt;0,(UtilidadNeta!F18*100)/PrecioDeVenta!F18,0)</f>
        <v>27.642236999147482</v>
      </c>
      <c r="G18" s="170">
        <f>IF(PrecioDeVenta!G18&gt;0,(UtilidadNeta!G18*100)/PrecioDeVenta!G18,0)</f>
        <v>29.061849673202609</v>
      </c>
      <c r="H18" s="170">
        <f>IF(PrecioDeVenta!H18&gt;0,(UtilidadNeta!H18*100)/PrecioDeVenta!H18,0)</f>
        <v>27.466555555555534</v>
      </c>
      <c r="I18" s="170">
        <f>IF(PrecioDeVenta!I18&gt;0,(UtilidadNeta!I18*100)/PrecioDeVenta!I18,0)</f>
        <v>28.644975686274496</v>
      </c>
      <c r="J18" s="170">
        <f>IF(PrecioDeVenta!J18&gt;0,(UtilidadNeta!J18*100)/PrecioDeVenta!J18,0)</f>
        <v>27.113493333333324</v>
      </c>
      <c r="K18" s="170">
        <f>IF(PrecioDeVenta!K18&gt;0,(UtilidadNeta!K18*100)/PrecioDeVenta!K18,0)</f>
        <v>0</v>
      </c>
      <c r="L18" s="170">
        <f>IF(PrecioDeVenta!L18&gt;0,(UtilidadNeta!L18*100)/PrecioDeVenta!L18,0)</f>
        <v>28.444241327300141</v>
      </c>
      <c r="M18" s="170">
        <f>IF(PrecioDeVenta!M18&gt;0,(UtilidadNeta!M18*100)/PrecioDeVenta!M18,0)</f>
        <v>29.676415395787931</v>
      </c>
      <c r="N18" s="170">
        <f>IF(PrecioDeVenta!N18&gt;0,(UtilidadNeta!N18*100)/PrecioDeVenta!N18,0)</f>
        <v>30.820577030812313</v>
      </c>
      <c r="O18" s="170">
        <f>IF(PrecioDeVenta!O18&gt;0,(UtilidadNeta!O18*100)/PrecioDeVenta!O18,0)</f>
        <v>31.885830966869491</v>
      </c>
      <c r="P18" s="170">
        <f>IF(PrecioDeVenta!P18&gt;0,(UtilidadNeta!P18*100)/PrecioDeVenta!P18,0)</f>
        <v>35.045227071473739</v>
      </c>
      <c r="Q18" s="170">
        <f>IF(PrecioDeVenta!Q18&gt;0,(UtilidadNeta!Q18*100)/PrecioDeVenta!Q18,0)</f>
        <v>41.374713725490196</v>
      </c>
    </row>
    <row r="19" spans="1:17" ht="20.25" customHeight="1" thickBot="1" x14ac:dyDescent="0.3">
      <c r="A19" s="163">
        <v>17</v>
      </c>
      <c r="B19" s="25" t="s">
        <v>13</v>
      </c>
      <c r="C19" s="170">
        <f>IF(PrecioDeVenta!C19&gt;0,(UtilidadNeta!C19*100)/PrecioDeVenta!C19,0)</f>
        <v>41.3109019607843</v>
      </c>
      <c r="D19" s="170">
        <f>IF(PrecioDeVenta!D19&gt;0,(UtilidadNeta!D19*100)/PrecioDeVenta!D19,0)</f>
        <v>38.576112044817926</v>
      </c>
      <c r="E19" s="170">
        <f>IF(PrecioDeVenta!E19&gt;0,(UtilidadNeta!E19*100)/PrecioDeVenta!E19,0)</f>
        <v>41.420337595907917</v>
      </c>
      <c r="F19" s="170">
        <f>IF(PrecioDeVenta!F19&gt;0,(UtilidadNeta!F19*100)/PrecioDeVenta!F19,0)</f>
        <v>38.923355498721229</v>
      </c>
      <c r="G19" s="170">
        <f>IF(PrecioDeVenta!G19&gt;0,(UtilidadNeta!G19*100)/PrecioDeVenta!G19,0)</f>
        <v>41.512263529411754</v>
      </c>
      <c r="H19" s="170">
        <f>IF(PrecioDeVenta!H19&gt;0,(UtilidadNeta!H19*100)/PrecioDeVenta!H19,0)</f>
        <v>39.215039999999988</v>
      </c>
      <c r="I19" s="170">
        <f>IF(PrecioDeVenta!I19&gt;0,(UtilidadNeta!I19*100)/PrecioDeVenta!I19,0)</f>
        <v>0</v>
      </c>
      <c r="J19" s="170">
        <f>IF(PrecioDeVenta!J19&gt;0,(UtilidadNeta!J19*100)/PrecioDeVenta!J19,0)</f>
        <v>0</v>
      </c>
      <c r="K19" s="170">
        <f>IF(PrecioDeVenta!K19&gt;0,(UtilidadNeta!K19*100)/PrecioDeVenta!K19,0)</f>
        <v>0</v>
      </c>
      <c r="L19" s="170">
        <f>IF(PrecioDeVenta!L19&gt;0,(UtilidadNeta!L19*100)/PrecioDeVenta!L19,0)</f>
        <v>0</v>
      </c>
      <c r="M19" s="170">
        <f>IF(PrecioDeVenta!M19&gt;0,(UtilidadNeta!M19*100)/PrecioDeVenta!M19,0)</f>
        <v>0</v>
      </c>
      <c r="N19" s="170">
        <f>IF(PrecioDeVenta!N19&gt;0,(UtilidadNeta!N19*100)/PrecioDeVenta!N19,0)</f>
        <v>0</v>
      </c>
      <c r="O19" s="170">
        <f>IF(PrecioDeVenta!O19&gt;0,(UtilidadNeta!O19*100)/PrecioDeVenta!O19,0)</f>
        <v>0</v>
      </c>
      <c r="P19" s="170">
        <f>IF(PrecioDeVenta!P19&gt;0,(UtilidadNeta!P19*100)/PrecioDeVenta!P19,0)</f>
        <v>0</v>
      </c>
      <c r="Q19" s="170">
        <f>IF(PrecioDeVenta!Q19&gt;0,(UtilidadNeta!Q19*100)/PrecioDeVenta!Q19,0)</f>
        <v>0</v>
      </c>
    </row>
    <row r="20" spans="1:17" ht="20.25" customHeight="1" thickBot="1" x14ac:dyDescent="0.3">
      <c r="A20" s="162">
        <v>18</v>
      </c>
      <c r="B20" s="23" t="s">
        <v>14</v>
      </c>
      <c r="C20" s="170">
        <f>IF(PrecioDeVenta!C20&gt;0,(UtilidadNeta!C20*100)/PrecioDeVenta!C20,0)</f>
        <v>0</v>
      </c>
      <c r="D20" s="170">
        <f>IF(PrecioDeVenta!D20&gt;0,(UtilidadNeta!D20*100)/PrecioDeVenta!D20,0)</f>
        <v>24.307092436974781</v>
      </c>
      <c r="E20" s="170">
        <f>IF(PrecioDeVenta!E20&gt;0,(UtilidadNeta!E20*100)/PrecioDeVenta!E20,0)</f>
        <v>26.935529411764691</v>
      </c>
      <c r="F20" s="170">
        <f>IF(PrecioDeVenta!F20&gt;0,(UtilidadNeta!F20*100)/PrecioDeVenta!F20,0)</f>
        <v>22.981974424552423</v>
      </c>
      <c r="G20" s="170">
        <f>IF(PrecioDeVenta!G20&gt;0,(UtilidadNeta!G20*100)/PrecioDeVenta!G20,0)</f>
        <v>0</v>
      </c>
      <c r="H20" s="170">
        <f>IF(PrecioDeVenta!H20&gt;0,(UtilidadNeta!H20*100)/PrecioDeVenta!H20,0)</f>
        <v>0</v>
      </c>
      <c r="I20" s="170">
        <f>IF(PrecioDeVenta!I20&gt;0,(UtilidadNeta!I20*100)/PrecioDeVenta!I20,0)</f>
        <v>0</v>
      </c>
      <c r="J20" s="170">
        <f>IF(PrecioDeVenta!J20&gt;0,(UtilidadNeta!J20*100)/PrecioDeVenta!J20,0)</f>
        <v>0</v>
      </c>
      <c r="K20" s="170">
        <f>IF(PrecioDeVenta!K20&gt;0,(UtilidadNeta!K20*100)/PrecioDeVenta!K20,0)</f>
        <v>0</v>
      </c>
      <c r="L20" s="170">
        <f>IF(PrecioDeVenta!L20&gt;0,(UtilidadNeta!L20*100)/PrecioDeVenta!L20,0)</f>
        <v>0</v>
      </c>
      <c r="M20" s="170">
        <f>IF(PrecioDeVenta!M20&gt;0,(UtilidadNeta!M20*100)/PrecioDeVenta!M20,0)</f>
        <v>0</v>
      </c>
      <c r="N20" s="170">
        <f>IF(PrecioDeVenta!N20&gt;0,(UtilidadNeta!N20*100)/PrecioDeVenta!N20,0)</f>
        <v>0</v>
      </c>
      <c r="O20" s="170">
        <f>IF(PrecioDeVenta!O20&gt;0,(UtilidadNeta!O20*100)/PrecioDeVenta!O20,0)</f>
        <v>0</v>
      </c>
      <c r="P20" s="170">
        <f>IF(PrecioDeVenta!P20&gt;0,(UtilidadNeta!P20*100)/PrecioDeVenta!P20,0)</f>
        <v>0</v>
      </c>
      <c r="Q20" s="170">
        <f>IF(PrecioDeVenta!Q20&gt;0,(UtilidadNeta!Q20*100)/PrecioDeVenta!Q20,0)</f>
        <v>0</v>
      </c>
    </row>
    <row r="21" spans="1:17" ht="20.25" customHeight="1" thickBot="1" x14ac:dyDescent="0.3">
      <c r="A21" s="163">
        <v>19</v>
      </c>
      <c r="B21" s="25" t="s">
        <v>132</v>
      </c>
      <c r="C21" s="170">
        <f>IF(PrecioDeVenta!C21&gt;0,(UtilidadNeta!C21*100)/PrecioDeVenta!C21,0)</f>
        <v>44.410277777777779</v>
      </c>
      <c r="D21" s="170">
        <f>IF(PrecioDeVenta!D21&gt;0,(UtilidadNeta!D21*100)/PrecioDeVenta!D21,0)</f>
        <v>46.63386666666667</v>
      </c>
      <c r="E21" s="170">
        <f>IF(PrecioDeVenta!E21&gt;0,(UtilidadNeta!E21*100)/PrecioDeVenta!E21,0)</f>
        <v>48.315952380952382</v>
      </c>
      <c r="F21" s="170">
        <f>IF(PrecioDeVenta!F21&gt;0,(UtilidadNeta!F21*100)/PrecioDeVenta!F21,0)</f>
        <v>47.994888888888887</v>
      </c>
      <c r="G21" s="170">
        <f>IF(PrecioDeVenta!G21&gt;0,(UtilidadNeta!G21*100)/PrecioDeVenta!G21,0)</f>
        <v>46.027311827956986</v>
      </c>
      <c r="H21" s="170">
        <f>IF(PrecioDeVenta!H21&gt;0,(UtilidadNeta!H21*100)/PrecioDeVenta!H21,0)</f>
        <v>45.874141414141413</v>
      </c>
      <c r="I21" s="170">
        <f>IF(PrecioDeVenta!I21&gt;0,(UtilidadNeta!I21*100)/PrecioDeVenta!I21,0)</f>
        <v>45.738476190476192</v>
      </c>
      <c r="J21" s="170">
        <f>IF(PrecioDeVenta!J21&gt;0,(UtilidadNeta!J21*100)/PrecioDeVenta!J21,0)</f>
        <v>44.10685185185185</v>
      </c>
      <c r="K21" s="170">
        <f>IF(PrecioDeVenta!K21&gt;0,(UtilidadNeta!K21*100)/PrecioDeVenta!K21,0)</f>
        <v>0</v>
      </c>
      <c r="L21" s="170">
        <f>IF(PrecioDeVenta!L21&gt;0,(UtilidadNeta!L21*100)/PrecioDeVenta!L21,0)</f>
        <v>39.509369369369367</v>
      </c>
      <c r="M21" s="170">
        <f>IF(PrecioDeVenta!M21&gt;0,(UtilidadNeta!M21*100)/PrecioDeVenta!M21,0)</f>
        <v>35.153859649122808</v>
      </c>
      <c r="N21" s="170">
        <f>IF(PrecioDeVenta!N21&gt;0,(UtilidadNeta!N21*100)/PrecioDeVenta!N21,0)</f>
        <v>29.206491228070178</v>
      </c>
      <c r="O21" s="170">
        <f>IF(PrecioDeVenta!O21&gt;0,(UtilidadNeta!O21*100)/PrecioDeVenta!O21,0)</f>
        <v>25.226837606837602</v>
      </c>
      <c r="P21" s="170">
        <f>IF(PrecioDeVenta!P21&gt;0,(UtilidadNeta!P21*100)/PrecioDeVenta!P21,0)</f>
        <v>19.431965811965817</v>
      </c>
      <c r="Q21" s="170">
        <f>IF(PrecioDeVenta!Q21&gt;0,(UtilidadNeta!Q21*100)/PrecioDeVenta!Q21,0)</f>
        <v>15.796166666666663</v>
      </c>
    </row>
    <row r="22" spans="1:17" ht="20.25" customHeight="1" thickBot="1" x14ac:dyDescent="0.3">
      <c r="A22" s="162">
        <v>20</v>
      </c>
      <c r="B22" s="23" t="s">
        <v>131</v>
      </c>
      <c r="C22" s="170">
        <f>IF(PrecioDeVenta!C22&gt;0,(UtilidadNeta!C22*100)/PrecioDeVenta!C22,0)</f>
        <v>49.118611111111115</v>
      </c>
      <c r="D22" s="170">
        <f>IF(PrecioDeVenta!D22&gt;0,(UtilidadNeta!D22*100)/PrecioDeVenta!D22,0)</f>
        <v>51.153866666666666</v>
      </c>
      <c r="E22" s="170">
        <f>IF(PrecioDeVenta!E22&gt;0,(UtilidadNeta!E22*100)/PrecioDeVenta!E22,0)</f>
        <v>50.586913580246915</v>
      </c>
      <c r="F22" s="170">
        <f>IF(PrecioDeVenta!F22&gt;0,(UtilidadNeta!F22*100)/PrecioDeVenta!F22,0)</f>
        <v>50.098160919540234</v>
      </c>
      <c r="G22" s="170">
        <f>IF(PrecioDeVenta!G22&gt;0,(UtilidadNeta!G22*100)/PrecioDeVenta!G22,0)</f>
        <v>47.994888888888887</v>
      </c>
      <c r="H22" s="170">
        <f>IF(PrecioDeVenta!H22&gt;0,(UtilidadNeta!H22*100)/PrecioDeVenta!H22,0)</f>
        <v>46.027311827956986</v>
      </c>
      <c r="I22" s="170">
        <f>IF(PrecioDeVenta!I22&gt;0,(UtilidadNeta!I22*100)/PrecioDeVenta!I22,0)</f>
        <v>45.874141414141413</v>
      </c>
      <c r="J22" s="170">
        <f>IF(PrecioDeVenta!J22&gt;0,(UtilidadNeta!J22*100)/PrecioDeVenta!J22,0)</f>
        <v>44.142549019607841</v>
      </c>
      <c r="K22" s="170">
        <f>IF(PrecioDeVenta!K22&gt;0,(UtilidadNeta!K22*100)/PrecioDeVenta!K22,0)</f>
        <v>0</v>
      </c>
      <c r="L22" s="170">
        <f>IF(PrecioDeVenta!L22&gt;0,(UtilidadNeta!L22*100)/PrecioDeVenta!L22,0)</f>
        <v>39.281333333333336</v>
      </c>
      <c r="M22" s="170">
        <f>IF(PrecioDeVenta!M22&gt;0,(UtilidadNeta!M22*100)/PrecioDeVenta!M22,0)</f>
        <v>34.690185185185186</v>
      </c>
      <c r="N22" s="170">
        <f>IF(PrecioDeVenta!N22&gt;0,(UtilidadNeta!N22*100)/PrecioDeVenta!N22,0)</f>
        <v>28.412407407407407</v>
      </c>
      <c r="O22" s="170">
        <f>IF(PrecioDeVenta!O22&gt;0,(UtilidadNeta!O22*100)/PrecioDeVenta!O22,0)</f>
        <v>24.239099099099096</v>
      </c>
      <c r="P22" s="170">
        <f>IF(PrecioDeVenta!P22&gt;0,(UtilidadNeta!P22*100)/PrecioDeVenta!P22,0)</f>
        <v>18.130990990990998</v>
      </c>
      <c r="Q22" s="170">
        <f>IF(PrecioDeVenta!Q22&gt;0,(UtilidadNeta!Q22*100)/PrecioDeVenta!Q22,0)</f>
        <v>14.338070175438597</v>
      </c>
    </row>
    <row r="23" spans="1:17" ht="20.25" customHeight="1" thickBot="1" x14ac:dyDescent="0.3">
      <c r="A23" s="163">
        <v>21</v>
      </c>
      <c r="B23" s="25" t="s">
        <v>129</v>
      </c>
      <c r="C23" s="170">
        <f>IF(PrecioDeVenta!C23&gt;0,(UtilidadNeta!C23*100)/PrecioDeVenta!C23,0)</f>
        <v>12.094442528735634</v>
      </c>
      <c r="D23" s="170">
        <f>IF(PrecioDeVenta!D23&gt;0,(UtilidadNeta!D23*100)/PrecioDeVenta!D23,0)</f>
        <v>10.744287356321838</v>
      </c>
      <c r="E23" s="170">
        <f>IF(PrecioDeVenta!E23&gt;0,(UtilidadNeta!E23*100)/PrecioDeVenta!E23,0)</f>
        <v>9.3941321839080416</v>
      </c>
      <c r="F23" s="170">
        <f>IF(PrecioDeVenta!F23&gt;0,(UtilidadNeta!F23*100)/PrecioDeVenta!F23,0)</f>
        <v>13.453154834347526</v>
      </c>
      <c r="G23" s="170">
        <f>IF(PrecioDeVenta!G23&gt;0,(UtilidadNeta!G23*100)/PrecioDeVenta!G23,0)</f>
        <v>12.182420554428656</v>
      </c>
      <c r="H23" s="170">
        <f>IF(PrecioDeVenta!H23&gt;0,(UtilidadNeta!H23*100)/PrecioDeVenta!H23,0)</f>
        <v>7.5881568627450982</v>
      </c>
      <c r="I23" s="170">
        <f>IF(PrecioDeVenta!I23&gt;0,(UtilidadNeta!I23*100)/PrecioDeVenta!I23,0)</f>
        <v>11.522010217113664</v>
      </c>
      <c r="J23" s="170">
        <f>IF(PrecioDeVenta!J23&gt;0,(UtilidadNeta!J23*100)/PrecioDeVenta!J23,0)</f>
        <v>10.321872286079179</v>
      </c>
      <c r="K23" s="170">
        <f>IF(PrecioDeVenta!K23&gt;0,(UtilidadNeta!K23*100)/PrecioDeVenta!K23,0)</f>
        <v>0</v>
      </c>
      <c r="L23" s="170">
        <f>IF(PrecioDeVenta!L23&gt;0,(UtilidadNeta!L23*100)/PrecioDeVenta!L23,0)</f>
        <v>9.3399412515964126</v>
      </c>
      <c r="M23" s="170">
        <f>IF(PrecioDeVenta!M23&gt;0,(UtilidadNeta!M23*100)/PrecioDeVenta!M23,0)</f>
        <v>10.207588626739243</v>
      </c>
      <c r="N23" s="170">
        <f>IF(PrecioDeVenta!N23&gt;0,(UtilidadNeta!N23*100)/PrecioDeVenta!N23,0)</f>
        <v>9.0706158499697445</v>
      </c>
      <c r="O23" s="170">
        <f>IF(PrecioDeVenta!O23&gt;0,(UtilidadNeta!O23*100)/PrecioDeVenta!O23,0)</f>
        <v>12.83154022988505</v>
      </c>
      <c r="P23" s="170">
        <f>IF(PrecioDeVenta!P23&gt;0,(UtilidadNeta!P23*100)/PrecioDeVenta!P23,0)</f>
        <v>16.140764094143393</v>
      </c>
      <c r="Q23" s="170">
        <f>IF(PrecioDeVenta!Q23&gt;0,(UtilidadNeta!Q23*100)/PrecioDeVenta!Q23,0)</f>
        <v>15.205591680350292</v>
      </c>
    </row>
    <row r="24" spans="1:17" ht="20.25" customHeight="1" thickBot="1" x14ac:dyDescent="0.3">
      <c r="A24" s="163">
        <v>22</v>
      </c>
      <c r="B24" s="25" t="s">
        <v>172</v>
      </c>
      <c r="C24" s="170">
        <f>IF(PrecioDeVenta!C24&gt;0,(UtilidadNeta!C24*100)/PrecioDeVenta!C24,0)</f>
        <v>11.92588419540229</v>
      </c>
      <c r="D24" s="170">
        <f>IF(PrecioDeVenta!D24&gt;0,(UtilidadNeta!D24*100)/PrecioDeVenta!D24,0)</f>
        <v>10.575729022988494</v>
      </c>
      <c r="E24" s="170">
        <f>IF(PrecioDeVenta!E24&gt;0,(UtilidadNeta!E24*100)/PrecioDeVenta!E24,0)</f>
        <v>9.2255738505747154</v>
      </c>
      <c r="F24" s="170">
        <f>IF(PrecioDeVenta!F24&gt;0,(UtilidadNeta!F24*100)/PrecioDeVenta!F24,0)</f>
        <v>13.294511697092629</v>
      </c>
      <c r="G24" s="170">
        <f>IF(PrecioDeVenta!G24&gt;0,(UtilidadNeta!G24*100)/PrecioDeVenta!G24,0)</f>
        <v>12.023777417173763</v>
      </c>
      <c r="H24" s="170">
        <f>IF(PrecioDeVenta!H24&gt;0,(UtilidadNeta!H24*100)/PrecioDeVenta!H24,0)</f>
        <v>7.4295137254902031</v>
      </c>
      <c r="I24" s="170">
        <f>IF(PrecioDeVenta!I24&gt;0,(UtilidadNeta!I24*100)/PrecioDeVenta!I24,0)</f>
        <v>11.37218058748404</v>
      </c>
      <c r="J24" s="170">
        <f>IF(PrecioDeVenta!J24&gt;0,(UtilidadNeta!J24*100)/PrecioDeVenta!J24,0)</f>
        <v>10.172042656449555</v>
      </c>
      <c r="K24" s="170">
        <f>IF(PrecioDeVenta!K24&gt;0,(UtilidadNeta!K24*100)/PrecioDeVenta!K24,0)</f>
        <v>0</v>
      </c>
      <c r="L24" s="170">
        <f>IF(PrecioDeVenta!L24&gt;0,(UtilidadNeta!L24*100)/PrecioDeVenta!L24,0)</f>
        <v>9.1901116219667891</v>
      </c>
      <c r="M24" s="170">
        <f>IF(PrecioDeVenta!M24&gt;0,(UtilidadNeta!M24*100)/PrecioDeVenta!M24,0)</f>
        <v>10.065644767090125</v>
      </c>
      <c r="N24" s="170">
        <f>IF(PrecioDeVenta!N24&gt;0,(UtilidadNeta!N24*100)/PrecioDeVenta!N24,0)</f>
        <v>8.9286719903206269</v>
      </c>
      <c r="O24" s="170">
        <f>IF(PrecioDeVenta!O24&gt;0,(UtilidadNeta!O24*100)/PrecioDeVenta!O24,0)</f>
        <v>12.696693563218389</v>
      </c>
      <c r="P24" s="170">
        <f>IF(PrecioDeVenta!P24&gt;0,(UtilidadNeta!P24*100)/PrecioDeVenta!P24,0)</f>
        <v>16.012338697318</v>
      </c>
      <c r="Q24" s="170">
        <f>IF(PrecioDeVenta!Q24&gt;0,(UtilidadNeta!Q24*100)/PrecioDeVenta!Q24,0)</f>
        <v>15.077166283524898</v>
      </c>
    </row>
    <row r="25" spans="1:17" ht="20.25" customHeight="1" thickBot="1" x14ac:dyDescent="0.3">
      <c r="A25" s="162">
        <v>23</v>
      </c>
      <c r="B25" s="23" t="s">
        <v>128</v>
      </c>
      <c r="C25" s="170">
        <f>IF(PrecioDeVenta!C25&gt;0,(UtilidadNeta!C25*100)/PrecioDeVenta!C25,0)</f>
        <v>17.03486602809706</v>
      </c>
      <c r="D25" s="170">
        <f>IF(PrecioDeVenta!D25&gt;0,(UtilidadNeta!D25*100)/PrecioDeVenta!D25,0)</f>
        <v>15.714714303959123</v>
      </c>
      <c r="E25" s="170">
        <f>IF(PrecioDeVenta!E25&gt;0,(UtilidadNeta!E25*100)/PrecioDeVenta!E25,0)</f>
        <v>14.394562579821187</v>
      </c>
      <c r="F25" s="170">
        <f>IF(PrecioDeVenta!F25&gt;0,(UtilidadNeta!F25*100)/PrecioDeVenta!F25,0)</f>
        <v>17.64944186327887</v>
      </c>
      <c r="G25" s="170">
        <f>IF(PrecioDeVenta!G25&gt;0,(UtilidadNeta!G25*100)/PrecioDeVenta!G25,0)</f>
        <v>16.398771808832418</v>
      </c>
      <c r="H25" s="170">
        <f>IF(PrecioDeVenta!H25&gt;0,(UtilidadNeta!H25*100)/PrecioDeVenta!H25,0)</f>
        <v>12.174417543859651</v>
      </c>
      <c r="I25" s="170">
        <f>IF(PrecioDeVenta!I25&gt;0,(UtilidadNeta!I25*100)/PrecioDeVenta!I25,0)</f>
        <v>15.377560114942526</v>
      </c>
      <c r="J25" s="170">
        <f>IF(PrecioDeVenta!J25&gt;0,(UtilidadNeta!J25*100)/PrecioDeVenta!J25,0)</f>
        <v>14.189423563218384</v>
      </c>
      <c r="K25" s="170">
        <f>IF(PrecioDeVenta!K25&gt;0,(UtilidadNeta!K25*100)/PrecioDeVenta!K25,0)</f>
        <v>0</v>
      </c>
      <c r="L25" s="170">
        <f>IF(PrecioDeVenta!L25&gt;0,(UtilidadNeta!L25*100)/PrecioDeVenta!L25,0)</f>
        <v>13.217311839080454</v>
      </c>
      <c r="M25" s="170">
        <f>IF(PrecioDeVenta!M25&gt;0,(UtilidadNeta!M25*100)/PrecioDeVenta!M25,0)</f>
        <v>13.733523918992875</v>
      </c>
      <c r="N25" s="170">
        <f>IF(PrecioDeVenta!N25&gt;0,(UtilidadNeta!N25*100)/PrecioDeVenta!N25,0)</f>
        <v>12.601965298303215</v>
      </c>
      <c r="O25" s="170">
        <f>IF(PrecioDeVenta!O25&gt;0,(UtilidadNeta!O25*100)/PrecioDeVenta!O25,0)</f>
        <v>15.789058411703238</v>
      </c>
      <c r="P25" s="170">
        <f>IF(PrecioDeVenta!P25&gt;0,(UtilidadNeta!P25*100)/PrecioDeVenta!P25,0)</f>
        <v>18.605089155422277</v>
      </c>
      <c r="Q25" s="170">
        <f>IF(PrecioDeVenta!Q25&gt;0,(UtilidadNeta!Q25*100)/PrecioDeVenta!Q25,0)</f>
        <v>17.665850774612689</v>
      </c>
    </row>
    <row r="26" spans="1:17" ht="20.25" customHeight="1" thickBot="1" x14ac:dyDescent="0.3">
      <c r="A26" s="163">
        <v>24</v>
      </c>
      <c r="B26" s="25" t="s">
        <v>130</v>
      </c>
      <c r="C26" s="170">
        <f>IF(PrecioDeVenta!C26&gt;0,(UtilidadNeta!C26*100)/PrecioDeVenta!C26,0)</f>
        <v>17.503410042347245</v>
      </c>
      <c r="D26" s="170">
        <f>IF(PrecioDeVenta!D26&gt;0,(UtilidadNeta!D26*100)/PrecioDeVenta!D26,0)</f>
        <v>12.955518935269199</v>
      </c>
      <c r="E26" s="170">
        <f>IF(PrecioDeVenta!E26&gt;0,(UtilidadNeta!E26*100)/PrecioDeVenta!E26,0)</f>
        <v>12.987246436781604</v>
      </c>
      <c r="F26" s="170">
        <f>IF(PrecioDeVenta!F26&gt;0,(UtilidadNeta!F26*100)/PrecioDeVenta!F26,0)</f>
        <v>8.6667498850574702</v>
      </c>
      <c r="G26" s="170">
        <f>IF(PrecioDeVenta!G26&gt;0,(UtilidadNeta!G26*100)/PrecioDeVenta!G26,0)</f>
        <v>8.9011936507936404</v>
      </c>
      <c r="H26" s="170">
        <f>IF(PrecioDeVenta!H26&gt;0,(UtilidadNeta!H26*100)/PrecioDeVenta!H26,0)</f>
        <v>2.6340540777230323</v>
      </c>
      <c r="I26" s="170">
        <f>IF(PrecioDeVenta!I26&gt;0,(UtilidadNeta!I26*100)/PrecioDeVenta!I26,0)</f>
        <v>2.7749889237199583</v>
      </c>
      <c r="J26" s="170">
        <f>IF(PrecioDeVenta!J26&gt;0,(UtilidadNeta!J26*100)/PrecioDeVenta!J26,0)</f>
        <v>2.732897951024476</v>
      </c>
      <c r="K26" s="170">
        <f>IF(PrecioDeVenta!K26&gt;0,(UtilidadNeta!K26*100)/PrecioDeVenta!K26,0)</f>
        <v>0</v>
      </c>
      <c r="L26" s="170">
        <f>IF(PrecioDeVenta!L26&gt;0,(UtilidadNeta!L26*100)/PrecioDeVenta!L26,0)</f>
        <v>7.5291957701149279</v>
      </c>
      <c r="M26" s="170">
        <f>IF(PrecioDeVenta!M26&gt;0,(UtilidadNeta!M26*100)/PrecioDeVenta!M26,0)</f>
        <v>13.998910016420346</v>
      </c>
      <c r="N26" s="170">
        <f>IF(PrecioDeVenta!N26&gt;0,(UtilidadNeta!N26*100)/PrecioDeVenta!N26,0)</f>
        <v>15.203760919540224</v>
      </c>
      <c r="O26" s="170">
        <f>IF(PrecioDeVenta!O26&gt;0,(UtilidadNeta!O26*100)/PrecioDeVenta!O26,0)</f>
        <v>19.027375899147199</v>
      </c>
      <c r="P26" s="170">
        <f>IF(PrecioDeVenta!P26&gt;0,(UtilidadNeta!P26*100)/PrecioDeVenta!P26,0)</f>
        <v>19.471166954022969</v>
      </c>
      <c r="Q26" s="170">
        <f>IF(PrecioDeVenta!Q26&gt;0,(UtilidadNeta!Q26*100)/PrecioDeVenta!Q26,0)</f>
        <v>17.630046264367802</v>
      </c>
    </row>
    <row r="27" spans="1:17" ht="20.25" customHeight="1" thickBot="1" x14ac:dyDescent="0.3">
      <c r="A27" s="162">
        <v>25</v>
      </c>
      <c r="B27" s="23" t="s">
        <v>136</v>
      </c>
      <c r="C27" s="170">
        <f>IF(PrecioDeVenta!C27&gt;0,(UtilidadNeta!C27*100)/PrecioDeVenta!C27,0)</f>
        <v>41.3303726060606</v>
      </c>
      <c r="D27" s="170">
        <f>IF(PrecioDeVenta!D27&gt;0,(UtilidadNeta!D27*100)/PrecioDeVenta!D27,0)</f>
        <v>39.82373333333333</v>
      </c>
      <c r="E27" s="170">
        <f>IF(PrecioDeVenta!E27&gt;0,(UtilidadNeta!E27*100)/PrecioDeVenta!E27,0)</f>
        <v>38.31709406060606</v>
      </c>
      <c r="F27" s="170">
        <f>IF(PrecioDeVenta!F27&gt;0,(UtilidadNeta!F27*100)/PrecioDeVenta!F27,0)</f>
        <v>44.892832205128201</v>
      </c>
      <c r="G27" s="170">
        <f>IF(PrecioDeVenta!G27&gt;0,(UtilidadNeta!G27*100)/PrecioDeVenta!G27,0)</f>
        <v>41.978892512820508</v>
      </c>
      <c r="H27" s="170">
        <f>IF(PrecioDeVenta!H27&gt;0,(UtilidadNeta!H27*100)/PrecioDeVenta!H27,0)</f>
        <v>45.277694476190462</v>
      </c>
      <c r="I27" s="170">
        <f>IF(PrecioDeVenta!I27&gt;0,(UtilidadNeta!I27*100)/PrecioDeVenta!I27,0)</f>
        <v>44.432131619047624</v>
      </c>
      <c r="J27" s="170">
        <f>IF(PrecioDeVenta!J27&gt;0,(UtilidadNeta!J27*100)/PrecioDeVenta!J27,0)</f>
        <v>43.24834361904761</v>
      </c>
      <c r="K27" s="170">
        <f>IF(PrecioDeVenta!K27&gt;0,(UtilidadNeta!K27*100)/PrecioDeVenta!K27,0)</f>
        <v>0</v>
      </c>
      <c r="L27" s="170">
        <f>IF(PrecioDeVenta!L27&gt;0,(UtilidadNeta!L27*100)/PrecioDeVenta!L27,0)</f>
        <v>0</v>
      </c>
      <c r="M27" s="170">
        <f>IF(PrecioDeVenta!M27&gt;0,(UtilidadNeta!M27*100)/PrecioDeVenta!M27,0)</f>
        <v>0</v>
      </c>
      <c r="N27" s="170">
        <f>IF(PrecioDeVenta!N27&gt;0,(UtilidadNeta!N27*100)/PrecioDeVenta!N27,0)</f>
        <v>0</v>
      </c>
      <c r="O27" s="170">
        <f>IF(PrecioDeVenta!O27&gt;0,(UtilidadNeta!O27*100)/PrecioDeVenta!O27,0)</f>
        <v>0</v>
      </c>
      <c r="P27" s="170">
        <f>IF(PrecioDeVenta!P27&gt;0,(UtilidadNeta!P27*100)/PrecioDeVenta!P27,0)</f>
        <v>0</v>
      </c>
      <c r="Q27" s="170">
        <f>IF(PrecioDeVenta!Q27&gt;0,(UtilidadNeta!Q27*100)/PrecioDeVenta!Q27,0)</f>
        <v>0</v>
      </c>
    </row>
    <row r="28" spans="1:17" ht="20.25" customHeight="1" thickBot="1" x14ac:dyDescent="0.3">
      <c r="A28" s="163">
        <v>26</v>
      </c>
      <c r="B28" s="25" t="s">
        <v>137</v>
      </c>
      <c r="C28" s="170">
        <f>IF(PrecioDeVenta!C28&gt;0,(UtilidadNeta!C28*100)/PrecioDeVenta!C28,0)</f>
        <v>35.519049696969695</v>
      </c>
      <c r="D28" s="170">
        <f>IF(PrecioDeVenta!D28&gt;0,(UtilidadNeta!D28*100)/PrecioDeVenta!D28,0)</f>
        <v>100</v>
      </c>
      <c r="E28" s="170">
        <f>IF(PrecioDeVenta!E28&gt;0,(UtilidadNeta!E28*100)/PrecioDeVenta!E28,0)</f>
        <v>100</v>
      </c>
      <c r="F28" s="170">
        <f>IF(PrecioDeVenta!F28&gt;0,(UtilidadNeta!F28*100)/PrecioDeVenta!F28,0)</f>
        <v>100</v>
      </c>
      <c r="G28" s="170">
        <f>IF(PrecioDeVenta!G28&gt;0,(UtilidadNeta!G28*100)/PrecioDeVenta!G28,0)</f>
        <v>100</v>
      </c>
      <c r="H28" s="170">
        <f>IF(PrecioDeVenta!H28&gt;0,(UtilidadNeta!H28*100)/PrecioDeVenta!H28,0)</f>
        <v>100</v>
      </c>
      <c r="I28" s="170">
        <f>IF(PrecioDeVenta!I28&gt;0,(UtilidadNeta!I28*100)/PrecioDeVenta!I28,0)</f>
        <v>100</v>
      </c>
      <c r="J28" s="170">
        <f>IF(PrecioDeVenta!J28&gt;0,(UtilidadNeta!J28*100)/PrecioDeVenta!J28,0)</f>
        <v>100</v>
      </c>
      <c r="K28" s="170">
        <f>IF(PrecioDeVenta!K28&gt;0,(UtilidadNeta!K28*100)/PrecioDeVenta!K28,0)</f>
        <v>0</v>
      </c>
      <c r="L28" s="170">
        <f>IF(PrecioDeVenta!L28&gt;0,(UtilidadNeta!L28*100)/PrecioDeVenta!L28,0)</f>
        <v>100</v>
      </c>
      <c r="M28" s="170">
        <f>IF(PrecioDeVenta!M28&gt;0,(UtilidadNeta!M28*100)/PrecioDeVenta!M28,0)</f>
        <v>100</v>
      </c>
      <c r="N28" s="170">
        <f>IF(PrecioDeVenta!N28&gt;0,(UtilidadNeta!N28*100)/PrecioDeVenta!N28,0)</f>
        <v>100</v>
      </c>
      <c r="O28" s="170">
        <f>IF(PrecioDeVenta!O28&gt;0,(UtilidadNeta!O28*100)/PrecioDeVenta!O28,0)</f>
        <v>100</v>
      </c>
      <c r="P28" s="170">
        <f>IF(PrecioDeVenta!P28&gt;0,(UtilidadNeta!P28*100)/PrecioDeVenta!P28,0)</f>
        <v>100</v>
      </c>
      <c r="Q28" s="170">
        <f>IF(PrecioDeVenta!Q28&gt;0,(UtilidadNeta!Q28*100)/PrecioDeVenta!Q28,0)</f>
        <v>100</v>
      </c>
    </row>
    <row r="29" spans="1:17" ht="20.25" customHeight="1" thickBot="1" x14ac:dyDescent="0.3">
      <c r="A29" s="162">
        <v>27</v>
      </c>
      <c r="B29" s="23" t="s">
        <v>125</v>
      </c>
      <c r="C29" s="170">
        <f>IF(PrecioDeVenta!C29&gt;0,(UtilidadNeta!C29*100)/PrecioDeVenta!C29,0)</f>
        <v>0</v>
      </c>
      <c r="D29" s="170">
        <f>IF(PrecioDeVenta!D29&gt;0,(UtilidadNeta!D29*100)/PrecioDeVenta!D29,0)</f>
        <v>0</v>
      </c>
      <c r="E29" s="170">
        <f>IF(PrecioDeVenta!E29&gt;0,(UtilidadNeta!E29*100)/PrecioDeVenta!E29,0)</f>
        <v>0</v>
      </c>
      <c r="F29" s="170">
        <f>IF(PrecioDeVenta!F29&gt;0,(UtilidadNeta!F29*100)/PrecioDeVenta!F29,0)</f>
        <v>0</v>
      </c>
      <c r="G29" s="170">
        <f>IF(PrecioDeVenta!G29&gt;0,(UtilidadNeta!G29*100)/PrecioDeVenta!G29,0)</f>
        <v>0</v>
      </c>
      <c r="H29" s="170">
        <f>IF(PrecioDeVenta!H29&gt;0,(UtilidadNeta!H29*100)/PrecioDeVenta!H29,0)</f>
        <v>0</v>
      </c>
      <c r="I29" s="170">
        <f>IF(PrecioDeVenta!I29&gt;0,(UtilidadNeta!I29*100)/PrecioDeVenta!I29,0)</f>
        <v>0</v>
      </c>
      <c r="J29" s="170">
        <f>IF(PrecioDeVenta!J29&gt;0,(UtilidadNeta!J29*100)/PrecioDeVenta!J29,0)</f>
        <v>0</v>
      </c>
      <c r="K29" s="170">
        <f>IF(PrecioDeVenta!K29&gt;0,(UtilidadNeta!K29*100)/PrecioDeVenta!K29,0)</f>
        <v>0</v>
      </c>
      <c r="L29" s="170">
        <f>IF(PrecioDeVenta!L29&gt;0,(UtilidadNeta!L29*100)/PrecioDeVenta!L29,0)</f>
        <v>0</v>
      </c>
      <c r="M29" s="170">
        <f>IF(PrecioDeVenta!M29&gt;0,(UtilidadNeta!M29*100)/PrecioDeVenta!M29,0)</f>
        <v>0</v>
      </c>
      <c r="N29" s="170">
        <f>IF(PrecioDeVenta!N29&gt;0,(UtilidadNeta!N29*100)/PrecioDeVenta!N29,0)</f>
        <v>0</v>
      </c>
      <c r="O29" s="170">
        <f>IF(PrecioDeVenta!O29&gt;0,(UtilidadNeta!O29*100)/PrecioDeVenta!O29,0)</f>
        <v>0</v>
      </c>
      <c r="P29" s="170">
        <f>IF(PrecioDeVenta!P29&gt;0,(UtilidadNeta!P29*100)/PrecioDeVenta!P29,0)</f>
        <v>0</v>
      </c>
      <c r="Q29" s="170">
        <f>IF(PrecioDeVenta!Q29&gt;0,(UtilidadNeta!Q29*100)/PrecioDeVenta!Q29,0)</f>
        <v>0</v>
      </c>
    </row>
    <row r="30" spans="1:17" ht="20.25" customHeight="1" thickBot="1" x14ac:dyDescent="0.3">
      <c r="A30" s="24"/>
      <c r="B30" s="25"/>
      <c r="C30" s="33"/>
      <c r="D30" s="34"/>
      <c r="E30" s="34"/>
      <c r="F30" s="34"/>
      <c r="G30" s="86"/>
      <c r="H30" s="85"/>
      <c r="I30" s="34"/>
      <c r="J30" s="34"/>
      <c r="K30" s="86"/>
      <c r="L30" s="85"/>
      <c r="M30" s="34"/>
      <c r="N30" s="34"/>
      <c r="O30" s="34"/>
      <c r="P30" s="34"/>
      <c r="Q30" s="34"/>
    </row>
  </sheetData>
  <mergeCells count="1">
    <mergeCell ref="A1:Q1"/>
  </mergeCells>
  <conditionalFormatting sqref="K3:R3 C3:Q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5" scale="9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FAB6-E93C-43C7-9E30-B9497316BDE4}">
  <sheetPr>
    <tabColor rgb="FFC00000"/>
    <pageSetUpPr fitToPage="1"/>
  </sheetPr>
  <dimension ref="A1:R30"/>
  <sheetViews>
    <sheetView zoomScale="80" zoomScaleNormal="80" workbookViewId="0">
      <selection activeCell="Q13" sqref="Q13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1" spans="1:18" ht="20.25" customHeight="1" thickBot="1" x14ac:dyDescent="0.3">
      <c r="A1" s="217" t="s">
        <v>170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</row>
    <row r="2" spans="1:18" ht="20.25" customHeight="1" thickBot="1" x14ac:dyDescent="0.3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7">
        <v>10</v>
      </c>
      <c r="H2" s="148">
        <v>12</v>
      </c>
      <c r="I2" s="146">
        <v>14</v>
      </c>
      <c r="J2" s="146" t="s">
        <v>149</v>
      </c>
      <c r="K2" s="147" t="s">
        <v>150</v>
      </c>
      <c r="L2" s="148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8" ht="20.25" customHeight="1" thickBot="1" x14ac:dyDescent="0.3">
      <c r="A3" s="162">
        <v>1</v>
      </c>
      <c r="B3" s="23" t="s">
        <v>1</v>
      </c>
      <c r="C3" s="150"/>
      <c r="D3" s="151"/>
      <c r="E3" s="151"/>
      <c r="F3" s="151"/>
      <c r="G3" s="152"/>
      <c r="H3" s="153"/>
      <c r="I3" s="151"/>
      <c r="J3" s="151">
        <v>21</v>
      </c>
      <c r="K3" s="152">
        <v>15</v>
      </c>
      <c r="L3" s="153">
        <v>18</v>
      </c>
      <c r="M3" s="151">
        <v>13</v>
      </c>
      <c r="N3" s="151">
        <v>11</v>
      </c>
      <c r="O3" s="151">
        <v>18</v>
      </c>
      <c r="P3" s="151">
        <v>16</v>
      </c>
      <c r="Q3" s="151">
        <v>12</v>
      </c>
      <c r="R3" s="151">
        <v>21</v>
      </c>
    </row>
    <row r="4" spans="1:18" ht="20.25" customHeight="1" thickBot="1" x14ac:dyDescent="0.3">
      <c r="A4" s="163">
        <v>2</v>
      </c>
      <c r="B4" s="25" t="s">
        <v>2</v>
      </c>
      <c r="C4" s="154">
        <v>80</v>
      </c>
      <c r="D4" s="155">
        <v>98</v>
      </c>
      <c r="E4" s="155">
        <v>50</v>
      </c>
      <c r="F4" s="155">
        <v>64</v>
      </c>
      <c r="G4" s="156">
        <v>76</v>
      </c>
      <c r="H4" s="157">
        <v>64</v>
      </c>
      <c r="I4" s="155">
        <v>27</v>
      </c>
      <c r="J4" s="155">
        <v>32</v>
      </c>
      <c r="K4" s="156"/>
      <c r="L4" s="157">
        <v>12</v>
      </c>
      <c r="M4" s="155">
        <v>70</v>
      </c>
      <c r="N4" s="155">
        <v>55</v>
      </c>
      <c r="O4" s="155">
        <v>23</v>
      </c>
      <c r="P4" s="155">
        <v>37</v>
      </c>
      <c r="Q4" s="155">
        <v>71</v>
      </c>
    </row>
    <row r="5" spans="1:18" ht="20.25" customHeight="1" thickBot="1" x14ac:dyDescent="0.3">
      <c r="A5" s="162">
        <v>3</v>
      </c>
      <c r="B5" s="23" t="s">
        <v>138</v>
      </c>
      <c r="C5" s="150"/>
      <c r="D5" s="151"/>
      <c r="E5" s="151"/>
      <c r="F5" s="151">
        <v>2</v>
      </c>
      <c r="G5" s="152"/>
      <c r="H5" s="153">
        <v>4</v>
      </c>
      <c r="I5" s="151"/>
      <c r="J5" s="151">
        <v>17</v>
      </c>
      <c r="K5" s="152"/>
      <c r="L5" s="153"/>
      <c r="M5" s="151"/>
      <c r="N5" s="151"/>
      <c r="O5" s="151"/>
      <c r="P5" s="151"/>
      <c r="Q5" s="151"/>
    </row>
    <row r="6" spans="1:18" ht="20.25" customHeight="1" thickBot="1" x14ac:dyDescent="0.3">
      <c r="A6" s="163">
        <v>4</v>
      </c>
      <c r="B6" s="25" t="s">
        <v>3</v>
      </c>
      <c r="C6" s="154"/>
      <c r="D6" s="155"/>
      <c r="E6" s="155"/>
      <c r="F6" s="155"/>
      <c r="G6" s="156"/>
      <c r="H6" s="157"/>
      <c r="I6" s="155"/>
      <c r="J6" s="155"/>
      <c r="K6" s="156"/>
      <c r="L6" s="157"/>
      <c r="M6" s="155"/>
      <c r="N6" s="155"/>
      <c r="O6" s="155"/>
      <c r="P6" s="155"/>
      <c r="Q6" s="155"/>
    </row>
    <row r="7" spans="1:18" ht="20.25" customHeight="1" thickBot="1" x14ac:dyDescent="0.3">
      <c r="A7" s="162">
        <v>5</v>
      </c>
      <c r="B7" s="23" t="s">
        <v>5</v>
      </c>
      <c r="C7" s="150">
        <v>28</v>
      </c>
      <c r="D7" s="151">
        <v>25</v>
      </c>
      <c r="E7" s="151">
        <v>23</v>
      </c>
      <c r="F7" s="151">
        <v>18</v>
      </c>
      <c r="G7" s="152">
        <v>16</v>
      </c>
      <c r="H7" s="153">
        <v>15</v>
      </c>
      <c r="I7" s="151">
        <v>23</v>
      </c>
      <c r="J7" s="151">
        <v>18</v>
      </c>
      <c r="K7" s="152"/>
      <c r="L7" s="153">
        <v>4</v>
      </c>
      <c r="M7" s="151"/>
      <c r="N7" s="151"/>
      <c r="O7" s="151"/>
      <c r="P7" s="151"/>
      <c r="Q7" s="151"/>
    </row>
    <row r="8" spans="1:18" ht="20.25" customHeight="1" thickBot="1" x14ac:dyDescent="0.3">
      <c r="A8" s="163">
        <v>6</v>
      </c>
      <c r="B8" s="25" t="s">
        <v>6</v>
      </c>
      <c r="C8" s="154">
        <v>28</v>
      </c>
      <c r="D8" s="155">
        <v>14</v>
      </c>
      <c r="E8" s="155">
        <v>8</v>
      </c>
      <c r="F8" s="155">
        <v>21</v>
      </c>
      <c r="G8" s="156">
        <v>15</v>
      </c>
      <c r="H8" s="157">
        <v>14</v>
      </c>
      <c r="I8" s="155">
        <v>13</v>
      </c>
      <c r="J8" s="155">
        <v>16</v>
      </c>
      <c r="K8" s="156"/>
      <c r="L8" s="157"/>
      <c r="M8" s="155"/>
      <c r="N8" s="155"/>
      <c r="O8" s="155"/>
      <c r="P8" s="155"/>
      <c r="Q8" s="155"/>
    </row>
    <row r="9" spans="1:18" ht="20.25" customHeight="1" thickBot="1" x14ac:dyDescent="0.3">
      <c r="A9" s="162">
        <v>7</v>
      </c>
      <c r="B9" s="23" t="s">
        <v>7</v>
      </c>
      <c r="C9" s="150">
        <v>7</v>
      </c>
      <c r="D9" s="151"/>
      <c r="E9" s="151">
        <v>1</v>
      </c>
      <c r="F9" s="151"/>
      <c r="G9" s="152">
        <v>22</v>
      </c>
      <c r="H9" s="153">
        <v>94</v>
      </c>
      <c r="I9" s="151">
        <v>10</v>
      </c>
      <c r="J9" s="151">
        <v>2</v>
      </c>
      <c r="K9" s="152"/>
      <c r="L9" s="153"/>
      <c r="M9" s="151">
        <v>16</v>
      </c>
      <c r="N9" s="151">
        <v>16</v>
      </c>
      <c r="O9" s="151">
        <v>76</v>
      </c>
      <c r="P9" s="151">
        <v>20</v>
      </c>
      <c r="Q9" s="151">
        <v>35</v>
      </c>
    </row>
    <row r="10" spans="1:18" ht="20.25" customHeight="1" thickBot="1" x14ac:dyDescent="0.3">
      <c r="A10" s="163">
        <v>8</v>
      </c>
      <c r="B10" s="25" t="s">
        <v>133</v>
      </c>
      <c r="C10" s="154">
        <v>15</v>
      </c>
      <c r="D10" s="155">
        <v>31</v>
      </c>
      <c r="E10" s="155">
        <v>23</v>
      </c>
      <c r="F10" s="155">
        <v>27</v>
      </c>
      <c r="G10" s="156">
        <v>21</v>
      </c>
      <c r="H10" s="157">
        <v>22</v>
      </c>
      <c r="I10" s="155">
        <v>35</v>
      </c>
      <c r="J10" s="155">
        <v>19</v>
      </c>
      <c r="K10" s="156"/>
      <c r="L10" s="157"/>
      <c r="M10" s="155"/>
      <c r="N10" s="155"/>
      <c r="O10" s="155"/>
      <c r="P10" s="155"/>
      <c r="Q10" s="155"/>
    </row>
    <row r="11" spans="1:18" ht="20.25" customHeight="1" thickBot="1" x14ac:dyDescent="0.3">
      <c r="A11" s="162">
        <v>9</v>
      </c>
      <c r="B11" s="23" t="s">
        <v>8</v>
      </c>
      <c r="C11" s="150">
        <v>24</v>
      </c>
      <c r="D11" s="151">
        <v>22</v>
      </c>
      <c r="E11" s="151">
        <v>17</v>
      </c>
      <c r="F11" s="151">
        <v>26</v>
      </c>
      <c r="G11" s="152">
        <v>15</v>
      </c>
      <c r="H11" s="153">
        <v>26</v>
      </c>
      <c r="I11" s="151">
        <v>24</v>
      </c>
      <c r="J11" s="151">
        <v>10</v>
      </c>
      <c r="K11" s="152"/>
      <c r="L11" s="153">
        <v>15</v>
      </c>
      <c r="M11" s="151">
        <v>29</v>
      </c>
      <c r="N11" s="151">
        <v>39</v>
      </c>
      <c r="O11" s="151">
        <v>40</v>
      </c>
      <c r="P11" s="151">
        <v>7</v>
      </c>
      <c r="Q11" s="151">
        <v>8</v>
      </c>
    </row>
    <row r="12" spans="1:18" ht="20.25" customHeight="1" thickBot="1" x14ac:dyDescent="0.3">
      <c r="A12" s="163">
        <v>10</v>
      </c>
      <c r="B12" s="25" t="s">
        <v>134</v>
      </c>
      <c r="C12" s="154"/>
      <c r="D12" s="155"/>
      <c r="E12" s="155"/>
      <c r="F12" s="155">
        <v>19</v>
      </c>
      <c r="G12" s="156">
        <v>1</v>
      </c>
      <c r="H12" s="157">
        <v>11</v>
      </c>
      <c r="I12" s="155">
        <v>15</v>
      </c>
      <c r="J12" s="155"/>
      <c r="K12" s="156"/>
      <c r="L12" s="157"/>
      <c r="M12" s="155"/>
      <c r="N12" s="155"/>
      <c r="O12" s="155"/>
      <c r="P12" s="155"/>
      <c r="Q12" s="155"/>
    </row>
    <row r="13" spans="1:18" ht="20.25" customHeight="1" thickBot="1" x14ac:dyDescent="0.3">
      <c r="A13" s="162">
        <v>11</v>
      </c>
      <c r="B13" s="23" t="s">
        <v>135</v>
      </c>
      <c r="C13" s="150">
        <v>14</v>
      </c>
      <c r="D13" s="151">
        <v>19</v>
      </c>
      <c r="E13" s="151">
        <v>10</v>
      </c>
      <c r="F13" s="151">
        <v>13</v>
      </c>
      <c r="G13" s="152">
        <v>12</v>
      </c>
      <c r="H13" s="153">
        <v>9</v>
      </c>
      <c r="I13" s="151">
        <v>14</v>
      </c>
      <c r="J13" s="151">
        <v>18</v>
      </c>
      <c r="K13" s="152"/>
      <c r="L13" s="153">
        <v>1</v>
      </c>
      <c r="M13" s="151"/>
      <c r="N13" s="151"/>
      <c r="O13" s="151"/>
      <c r="P13" s="151"/>
      <c r="Q13" s="151"/>
    </row>
    <row r="14" spans="1:18" ht="20.25" customHeight="1" thickBot="1" x14ac:dyDescent="0.3">
      <c r="A14" s="163">
        <v>12</v>
      </c>
      <c r="B14" s="25" t="s">
        <v>9</v>
      </c>
      <c r="C14" s="154"/>
      <c r="D14" s="155"/>
      <c r="E14" s="155"/>
      <c r="F14" s="155"/>
      <c r="G14" s="156"/>
      <c r="H14" s="157"/>
      <c r="I14" s="155"/>
      <c r="J14" s="155"/>
      <c r="K14" s="156">
        <v>25</v>
      </c>
      <c r="L14" s="157">
        <v>26</v>
      </c>
      <c r="M14" s="155">
        <v>8</v>
      </c>
      <c r="N14" s="155">
        <v>12</v>
      </c>
      <c r="O14" s="155">
        <v>30</v>
      </c>
      <c r="P14" s="155"/>
      <c r="Q14" s="155"/>
    </row>
    <row r="15" spans="1:18" ht="20.25" customHeight="1" thickBot="1" x14ac:dyDescent="0.3">
      <c r="A15" s="162">
        <v>13</v>
      </c>
      <c r="B15" s="23" t="s">
        <v>10</v>
      </c>
      <c r="C15" s="150">
        <v>46</v>
      </c>
      <c r="D15" s="151">
        <v>78</v>
      </c>
      <c r="E15" s="151">
        <v>56</v>
      </c>
      <c r="F15" s="151">
        <v>47</v>
      </c>
      <c r="G15" s="152">
        <v>22</v>
      </c>
      <c r="H15" s="153">
        <v>58</v>
      </c>
      <c r="I15" s="151">
        <v>5</v>
      </c>
      <c r="J15" s="151">
        <v>46</v>
      </c>
      <c r="K15" s="152"/>
      <c r="L15" s="153">
        <v>27</v>
      </c>
      <c r="M15" s="151">
        <v>5</v>
      </c>
      <c r="N15" s="151">
        <v>9</v>
      </c>
      <c r="O15" s="151">
        <v>38</v>
      </c>
      <c r="P15" s="151"/>
      <c r="Q15" s="151"/>
    </row>
    <row r="16" spans="1:18" ht="20.25" customHeight="1" thickBot="1" x14ac:dyDescent="0.3">
      <c r="A16" s="162">
        <v>14</v>
      </c>
      <c r="B16" s="23" t="s">
        <v>171</v>
      </c>
      <c r="C16" s="150"/>
      <c r="D16" s="151"/>
      <c r="E16" s="151"/>
      <c r="F16" s="151"/>
      <c r="G16" s="152"/>
      <c r="H16" s="153"/>
      <c r="I16" s="151"/>
      <c r="J16" s="151"/>
      <c r="K16" s="152"/>
      <c r="L16" s="153"/>
      <c r="M16" s="151"/>
      <c r="N16" s="151"/>
      <c r="O16" s="151"/>
      <c r="P16" s="151"/>
      <c r="Q16" s="151"/>
    </row>
    <row r="17" spans="1:17" ht="20.25" customHeight="1" thickBot="1" x14ac:dyDescent="0.3">
      <c r="A17" s="163">
        <v>15</v>
      </c>
      <c r="B17" s="25" t="s">
        <v>11</v>
      </c>
      <c r="C17" s="154"/>
      <c r="D17" s="155"/>
      <c r="E17" s="155"/>
      <c r="F17" s="155"/>
      <c r="G17" s="156"/>
      <c r="H17" s="157"/>
      <c r="I17" s="155"/>
      <c r="J17" s="155"/>
      <c r="K17" s="156"/>
      <c r="L17" s="157"/>
      <c r="M17" s="155"/>
      <c r="N17" s="155"/>
      <c r="O17" s="155"/>
      <c r="P17" s="155"/>
      <c r="Q17" s="155"/>
    </row>
    <row r="18" spans="1:17" ht="20.25" customHeight="1" thickBot="1" x14ac:dyDescent="0.3">
      <c r="A18" s="162">
        <v>16</v>
      </c>
      <c r="B18" s="23" t="s">
        <v>12</v>
      </c>
      <c r="C18" s="150"/>
      <c r="D18" s="151">
        <v>52</v>
      </c>
      <c r="E18" s="151">
        <v>84</v>
      </c>
      <c r="F18" s="151">
        <v>54</v>
      </c>
      <c r="G18" s="152">
        <v>73</v>
      </c>
      <c r="H18" s="153">
        <v>33</v>
      </c>
      <c r="I18" s="151">
        <v>12</v>
      </c>
      <c r="J18" s="151">
        <v>12</v>
      </c>
      <c r="K18" s="152"/>
      <c r="L18" s="153"/>
      <c r="M18" s="151">
        <v>9</v>
      </c>
      <c r="N18" s="151">
        <v>18</v>
      </c>
      <c r="O18" s="151"/>
      <c r="P18" s="151">
        <v>16</v>
      </c>
      <c r="Q18" s="151">
        <v>15</v>
      </c>
    </row>
    <row r="19" spans="1:17" ht="20.25" customHeight="1" thickBot="1" x14ac:dyDescent="0.3">
      <c r="A19" s="163">
        <v>17</v>
      </c>
      <c r="B19" s="25" t="s">
        <v>13</v>
      </c>
      <c r="C19" s="154"/>
      <c r="D19" s="155">
        <v>31</v>
      </c>
      <c r="E19" s="155">
        <v>35</v>
      </c>
      <c r="F19" s="155">
        <v>62</v>
      </c>
      <c r="G19" s="156">
        <v>14</v>
      </c>
      <c r="H19" s="157">
        <v>11</v>
      </c>
      <c r="I19" s="155"/>
      <c r="J19" s="155"/>
      <c r="K19" s="156"/>
      <c r="L19" s="157"/>
      <c r="M19" s="155"/>
      <c r="N19" s="155"/>
      <c r="O19" s="155"/>
      <c r="P19" s="155"/>
      <c r="Q19" s="155"/>
    </row>
    <row r="20" spans="1:17" ht="20.25" customHeight="1" thickBot="1" x14ac:dyDescent="0.3">
      <c r="A20" s="162">
        <v>18</v>
      </c>
      <c r="B20" s="23" t="s">
        <v>14</v>
      </c>
      <c r="C20" s="150"/>
      <c r="D20" s="151">
        <v>8</v>
      </c>
      <c r="E20" s="151">
        <v>24</v>
      </c>
      <c r="F20" s="151">
        <v>49</v>
      </c>
      <c r="G20" s="152"/>
      <c r="H20" s="153"/>
      <c r="I20" s="151"/>
      <c r="J20" s="151"/>
      <c r="K20" s="152"/>
      <c r="L20" s="153"/>
      <c r="M20" s="151"/>
      <c r="N20" s="151"/>
      <c r="O20" s="151"/>
      <c r="P20" s="151"/>
      <c r="Q20" s="151"/>
    </row>
    <row r="21" spans="1:17" ht="20.25" customHeight="1" thickBot="1" x14ac:dyDescent="0.3">
      <c r="A21" s="163">
        <v>19</v>
      </c>
      <c r="B21" s="25" t="s">
        <v>132</v>
      </c>
      <c r="C21" s="154"/>
      <c r="D21" s="155">
        <v>73</v>
      </c>
      <c r="E21" s="155">
        <v>59</v>
      </c>
      <c r="F21" s="155">
        <v>51</v>
      </c>
      <c r="G21" s="156">
        <v>68</v>
      </c>
      <c r="H21" s="157">
        <v>20</v>
      </c>
      <c r="I21" s="155">
        <v>28</v>
      </c>
      <c r="J21" s="155"/>
      <c r="K21" s="156">
        <v>1</v>
      </c>
      <c r="L21" s="157">
        <v>17</v>
      </c>
      <c r="M21" s="155">
        <v>25</v>
      </c>
      <c r="N21" s="155">
        <v>1</v>
      </c>
      <c r="O21" s="155"/>
      <c r="P21" s="155"/>
      <c r="Q21" s="155"/>
    </row>
    <row r="22" spans="1:17" ht="20.25" customHeight="1" thickBot="1" x14ac:dyDescent="0.3">
      <c r="A22" s="162">
        <v>20</v>
      </c>
      <c r="B22" s="23" t="s">
        <v>131</v>
      </c>
      <c r="C22" s="150"/>
      <c r="D22" s="151">
        <v>35</v>
      </c>
      <c r="E22" s="151">
        <v>6</v>
      </c>
      <c r="F22" s="151">
        <v>13</v>
      </c>
      <c r="G22" s="152">
        <v>15</v>
      </c>
      <c r="H22" s="153">
        <v>21</v>
      </c>
      <c r="I22" s="151">
        <v>18</v>
      </c>
      <c r="J22" s="151"/>
      <c r="K22" s="152"/>
      <c r="L22" s="153">
        <v>9</v>
      </c>
      <c r="M22" s="151"/>
      <c r="N22" s="151">
        <v>14</v>
      </c>
      <c r="O22" s="151">
        <v>6</v>
      </c>
      <c r="P22" s="151"/>
      <c r="Q22" s="151"/>
    </row>
    <row r="23" spans="1:17" ht="20.25" customHeight="1" thickBot="1" x14ac:dyDescent="0.3">
      <c r="A23" s="163">
        <v>21</v>
      </c>
      <c r="B23" s="25" t="s">
        <v>129</v>
      </c>
      <c r="C23" s="154">
        <v>44</v>
      </c>
      <c r="D23" s="155">
        <v>2</v>
      </c>
      <c r="E23" s="155">
        <v>2</v>
      </c>
      <c r="F23" s="155">
        <v>5</v>
      </c>
      <c r="G23" s="156">
        <v>61</v>
      </c>
      <c r="H23" s="157">
        <v>59</v>
      </c>
      <c r="I23" s="155"/>
      <c r="J23" s="155">
        <v>69</v>
      </c>
      <c r="K23" s="156"/>
      <c r="L23" s="157">
        <v>53</v>
      </c>
      <c r="M23" s="155">
        <v>95</v>
      </c>
      <c r="N23" s="155">
        <v>82</v>
      </c>
      <c r="O23" s="155">
        <v>32</v>
      </c>
      <c r="P23" s="155"/>
      <c r="Q23" s="155"/>
    </row>
    <row r="24" spans="1:17" ht="20.25" customHeight="1" thickBot="1" x14ac:dyDescent="0.3">
      <c r="A24" s="24">
        <v>22</v>
      </c>
      <c r="B24" s="25" t="s">
        <v>172</v>
      </c>
      <c r="C24" s="154">
        <v>23</v>
      </c>
      <c r="D24" s="155">
        <v>49</v>
      </c>
      <c r="E24" s="155">
        <v>26</v>
      </c>
      <c r="F24" s="155">
        <v>16</v>
      </c>
      <c r="G24" s="156">
        <v>29</v>
      </c>
      <c r="H24" s="157">
        <v>43</v>
      </c>
      <c r="I24" s="155">
        <v>49</v>
      </c>
      <c r="J24" s="155">
        <v>18</v>
      </c>
      <c r="K24" s="156"/>
      <c r="L24" s="157">
        <v>10</v>
      </c>
      <c r="M24" s="155">
        <v>67</v>
      </c>
      <c r="N24" s="155">
        <v>83</v>
      </c>
      <c r="O24" s="155">
        <v>42</v>
      </c>
      <c r="P24" s="155">
        <v>32</v>
      </c>
      <c r="Q24" s="155">
        <v>7</v>
      </c>
    </row>
    <row r="25" spans="1:17" ht="20.25" customHeight="1" thickBot="1" x14ac:dyDescent="0.3">
      <c r="A25" s="162">
        <v>23</v>
      </c>
      <c r="B25" s="23" t="s">
        <v>128</v>
      </c>
      <c r="C25" s="150">
        <v>35</v>
      </c>
      <c r="D25" s="151">
        <v>12</v>
      </c>
      <c r="E25" s="151">
        <v>74</v>
      </c>
      <c r="F25" s="151">
        <v>17</v>
      </c>
      <c r="G25" s="152">
        <v>32</v>
      </c>
      <c r="H25" s="153">
        <v>27</v>
      </c>
      <c r="I25" s="151">
        <v>104</v>
      </c>
      <c r="J25" s="151">
        <v>61</v>
      </c>
      <c r="K25" s="152"/>
      <c r="L25" s="153">
        <v>19</v>
      </c>
      <c r="M25" s="151">
        <v>23</v>
      </c>
      <c r="N25" s="151">
        <v>15</v>
      </c>
      <c r="O25" s="151">
        <v>44</v>
      </c>
      <c r="P25" s="151"/>
      <c r="Q25" s="151"/>
    </row>
    <row r="26" spans="1:17" ht="20.25" customHeight="1" thickBot="1" x14ac:dyDescent="0.3">
      <c r="A26" s="163">
        <v>24</v>
      </c>
      <c r="B26" s="25" t="s">
        <v>130</v>
      </c>
      <c r="C26" s="154">
        <v>9</v>
      </c>
      <c r="D26" s="155">
        <v>18</v>
      </c>
      <c r="E26" s="155"/>
      <c r="F26" s="155">
        <v>16</v>
      </c>
      <c r="G26" s="156">
        <v>32</v>
      </c>
      <c r="H26" s="157">
        <v>33</v>
      </c>
      <c r="I26" s="155">
        <v>19</v>
      </c>
      <c r="J26" s="155">
        <v>62</v>
      </c>
      <c r="K26" s="156"/>
      <c r="L26" s="157">
        <v>146</v>
      </c>
      <c r="M26" s="155">
        <v>39</v>
      </c>
      <c r="N26" s="155">
        <v>48</v>
      </c>
      <c r="O26" s="155">
        <v>24</v>
      </c>
      <c r="P26" s="155">
        <v>4</v>
      </c>
      <c r="Q26" s="155"/>
    </row>
    <row r="27" spans="1:17" ht="20.25" customHeight="1" thickBot="1" x14ac:dyDescent="0.3">
      <c r="A27" s="162">
        <v>25</v>
      </c>
      <c r="B27" s="23" t="s">
        <v>136</v>
      </c>
      <c r="C27" s="150"/>
      <c r="D27" s="151"/>
      <c r="E27" s="151"/>
      <c r="F27" s="151"/>
      <c r="G27" s="152"/>
      <c r="H27" s="153"/>
      <c r="I27" s="151"/>
      <c r="J27" s="151"/>
      <c r="K27" s="152"/>
      <c r="L27" s="153"/>
      <c r="M27" s="151"/>
      <c r="N27" s="151"/>
      <c r="O27" s="151"/>
      <c r="P27" s="151"/>
      <c r="Q27" s="151"/>
    </row>
    <row r="28" spans="1:17" ht="20.25" customHeight="1" thickBot="1" x14ac:dyDescent="0.3">
      <c r="A28" s="163">
        <v>26</v>
      </c>
      <c r="B28" s="25" t="s">
        <v>137</v>
      </c>
      <c r="C28" s="154"/>
      <c r="D28" s="155">
        <v>42</v>
      </c>
      <c r="E28" s="155">
        <v>42</v>
      </c>
      <c r="F28" s="155">
        <v>42</v>
      </c>
      <c r="G28" s="156">
        <v>60</v>
      </c>
      <c r="H28" s="157">
        <v>43</v>
      </c>
      <c r="I28" s="155">
        <v>40</v>
      </c>
      <c r="J28" s="155">
        <v>40</v>
      </c>
      <c r="K28" s="156"/>
      <c r="L28" s="157"/>
      <c r="M28" s="155"/>
      <c r="N28" s="155"/>
      <c r="O28" s="155"/>
      <c r="P28" s="155"/>
      <c r="Q28" s="155"/>
    </row>
    <row r="29" spans="1:17" ht="20.25" customHeight="1" thickBot="1" x14ac:dyDescent="0.3">
      <c r="A29" s="162">
        <v>27</v>
      </c>
      <c r="B29" s="23" t="s">
        <v>125</v>
      </c>
      <c r="C29" s="150"/>
      <c r="D29" s="151"/>
      <c r="E29" s="151"/>
      <c r="F29" s="151"/>
      <c r="G29" s="152"/>
      <c r="H29" s="153"/>
      <c r="I29" s="151"/>
      <c r="J29" s="151"/>
      <c r="K29" s="152"/>
      <c r="L29" s="153"/>
      <c r="M29" s="151"/>
      <c r="N29" s="151"/>
      <c r="O29" s="151"/>
      <c r="P29" s="151"/>
      <c r="Q29" s="151"/>
    </row>
    <row r="30" spans="1:17" ht="20.25" customHeight="1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1">
    <mergeCell ref="A1:Q1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230" scale="81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29D3-0F59-48CF-A5A7-48B30A472E3C}">
  <sheetPr>
    <tabColor rgb="FFC00000"/>
    <pageSetUpPr fitToPage="1"/>
  </sheetPr>
  <dimension ref="A1:S31"/>
  <sheetViews>
    <sheetView zoomScale="80" zoomScaleNormal="80" workbookViewId="0">
      <selection activeCell="N24" sqref="N24"/>
    </sheetView>
  </sheetViews>
  <sheetFormatPr baseColWidth="10" defaultRowHeight="12.75" x14ac:dyDescent="0.2"/>
  <cols>
    <col min="1" max="1" width="9.7109375" style="173" customWidth="1"/>
    <col min="2" max="2" width="25.28515625" style="173" customWidth="1"/>
    <col min="3" max="13" width="11.7109375" style="174" customWidth="1"/>
    <col min="14" max="18" width="11.7109375" style="173" customWidth="1"/>
    <col min="19" max="19" width="15.140625" style="173" customWidth="1"/>
    <col min="20" max="16384" width="11.42578125" style="173"/>
  </cols>
  <sheetData>
    <row r="1" spans="1:19" ht="20.25" customHeight="1" thickBot="1" x14ac:dyDescent="0.25">
      <c r="A1" s="217" t="s">
        <v>169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</row>
    <row r="2" spans="1:19" ht="20.25" customHeight="1" thickBot="1" x14ac:dyDescent="0.25">
      <c r="A2" s="21" t="s">
        <v>15</v>
      </c>
      <c r="B2" s="21" t="s">
        <v>0</v>
      </c>
      <c r="C2" s="146">
        <v>2</v>
      </c>
      <c r="D2" s="146">
        <v>4</v>
      </c>
      <c r="E2" s="146">
        <v>6</v>
      </c>
      <c r="F2" s="146">
        <v>8</v>
      </c>
      <c r="G2" s="146">
        <v>10</v>
      </c>
      <c r="H2" s="146">
        <v>12</v>
      </c>
      <c r="I2" s="146">
        <v>14</v>
      </c>
      <c r="J2" s="146" t="s">
        <v>149</v>
      </c>
      <c r="K2" s="146" t="s">
        <v>150</v>
      </c>
      <c r="L2" s="146" t="s">
        <v>151</v>
      </c>
      <c r="M2" s="146" t="s">
        <v>152</v>
      </c>
      <c r="N2" s="146" t="s">
        <v>153</v>
      </c>
      <c r="O2" s="146" t="s">
        <v>154</v>
      </c>
      <c r="P2" s="146" t="s">
        <v>155</v>
      </c>
      <c r="Q2" s="146" t="s">
        <v>156</v>
      </c>
      <c r="R2" s="146" t="s">
        <v>177</v>
      </c>
    </row>
    <row r="3" spans="1:19" ht="20.25" customHeight="1" thickBot="1" x14ac:dyDescent="0.25">
      <c r="A3" s="162">
        <v>1</v>
      </c>
      <c r="B3" s="23" t="s">
        <v>1</v>
      </c>
      <c r="C3" s="170">
        <f>IF(CostoTotal!C3&gt;0,CostoTotal!C3*INVENTARIO!C3,0)</f>
        <v>0</v>
      </c>
      <c r="D3" s="170">
        <f>IF(CostoTotal!D3&gt;0,CostoTotal!D3*INVENTARIO!D3,0)</f>
        <v>0</v>
      </c>
      <c r="E3" s="170">
        <f>IF(CostoTotal!E3&gt;0,CostoTotal!E3*INVENTARIO!E3,0)</f>
        <v>0</v>
      </c>
      <c r="F3" s="170">
        <f>IF(CostoTotal!F3&gt;0,CostoTotal!F3*INVENTARIO!F3,0)</f>
        <v>0</v>
      </c>
      <c r="G3" s="170">
        <f>IF(CostoTotal!G3&gt;0,CostoTotal!G3*INVENTARIO!G3,0)</f>
        <v>0</v>
      </c>
      <c r="H3" s="170">
        <f>IF(CostoTotal!H3&gt;0,CostoTotal!H3*INVENTARIO!H3,0)</f>
        <v>0</v>
      </c>
      <c r="I3" s="170">
        <f>IF(CostoTotal!I3&gt;0,CostoTotal!I3*INVENTARIO!I3,0)</f>
        <v>0</v>
      </c>
      <c r="J3" s="170">
        <f>IF(CostoTotal!J3&gt;0,CostoTotal!J3*INVENTARIO!J3,0)</f>
        <v>2531.0090024390247</v>
      </c>
      <c r="K3" s="170">
        <f>IF(CostoTotal!K3&gt;0,CostoTotal!K3*INVENTARIO!K3,0)</f>
        <v>1849.5357682926831</v>
      </c>
      <c r="L3" s="170">
        <f>IF(CostoTotal!L3&gt;0,CostoTotal!L3*INVENTARIO!L3,0)</f>
        <v>2346.1462390243905</v>
      </c>
      <c r="M3" s="170">
        <f>IF(CostoTotal!M3&gt;0,CostoTotal!M3*INVENTARIO!M3,0)</f>
        <v>1721.5258772357727</v>
      </c>
      <c r="N3" s="170">
        <f>IF(CostoTotal!N3&gt;0,CostoTotal!N3*INVENTARIO!N3,0)</f>
        <v>1479.5954495934961</v>
      </c>
      <c r="O3" s="170">
        <f>IF(CostoTotal!O3&gt;0,CostoTotal!O3*INVENTARIO!O3,0)</f>
        <v>2446.1595073170729</v>
      </c>
      <c r="P3" s="170">
        <f>IF(CostoTotal!P3&gt;0,CostoTotal!P3*INVENTARIO!P3,0)</f>
        <v>2214.3693138211383</v>
      </c>
      <c r="Q3" s="170">
        <f>IF(CostoTotal!Q3&gt;0,CostoTotal!Q3*INVENTARIO!Q3,0)</f>
        <v>1679.1127512195123</v>
      </c>
      <c r="R3" s="170">
        <f>IF(CostoTotal!R3&gt;0,CostoTotal!R3*INVENTARIO!R3,0)</f>
        <v>2985.1201731707315</v>
      </c>
      <c r="S3" s="172">
        <f>SUM(C3:R3)</f>
        <v>19252.574082113824</v>
      </c>
    </row>
    <row r="4" spans="1:19" ht="20.25" customHeight="1" thickBot="1" x14ac:dyDescent="0.25">
      <c r="A4" s="163">
        <v>2</v>
      </c>
      <c r="B4" s="25" t="s">
        <v>2</v>
      </c>
      <c r="C4" s="170">
        <f>IF(CostoTotal!C4&gt;0,CostoTotal!C4*INVENTARIO!C4,0)</f>
        <v>4996.2266666666665</v>
      </c>
      <c r="D4" s="170">
        <f>IF(CostoTotal!D4&gt;0,CostoTotal!D4*INVENTARIO!D4,0)</f>
        <v>6243.8576666666659</v>
      </c>
      <c r="E4" s="170">
        <f>IF(CostoTotal!E4&gt;0,CostoTotal!E4*INVENTARIO!E4,0)</f>
        <v>3248.6416666666664</v>
      </c>
      <c r="F4" s="170">
        <f>IF(CostoTotal!F4&gt;0,CostoTotal!F4*INVENTARIO!F4,0)</f>
        <v>4238.9013333333332</v>
      </c>
      <c r="G4" s="170">
        <f>IF(CostoTotal!G4&gt;0,CostoTotal!G4*INVENTARIO!G4,0)</f>
        <v>5129.4553333333333</v>
      </c>
      <c r="H4" s="170">
        <f>IF(CostoTotal!H4&gt;0,CostoTotal!H4*INVENTARIO!H4,0)</f>
        <v>4617.141333333333</v>
      </c>
      <c r="I4" s="170">
        <f>IF(CostoTotal!I4&gt;0,CostoTotal!I4*INVENTARIO!I4,0)</f>
        <v>1981.8765000000001</v>
      </c>
      <c r="J4" s="170">
        <f>IF(CostoTotal!J4&gt;0,CostoTotal!J4*INVENTARIO!J4,0)</f>
        <v>2389.2106666666668</v>
      </c>
      <c r="K4" s="170">
        <f>IF(CostoTotal!K4&gt;0,CostoTotal!K4*INVENTARIO!K4,0)</f>
        <v>0</v>
      </c>
      <c r="L4" s="170">
        <f>IF(CostoTotal!L4&gt;0,CostoTotal!L4*INVENTARIO!L4,0)</f>
        <v>911.07399999999996</v>
      </c>
      <c r="M4" s="170">
        <f>IF(CostoTotal!M4&gt;0,CostoTotal!M4*INVENTARIO!M4,0)</f>
        <v>5719.1983333333328</v>
      </c>
      <c r="N4" s="170">
        <f>IF(CostoTotal!N4&gt;0,CostoTotal!N4*INVENTARIO!N4,0)</f>
        <v>4562.9558333333325</v>
      </c>
      <c r="O4" s="170">
        <f>IF(CostoTotal!O4&gt;0,CostoTotal!O4*INVENTARIO!O4,0)</f>
        <v>1937.1251666666669</v>
      </c>
      <c r="P4" s="170">
        <f>IF(CostoTotal!P4&gt;0,CostoTotal!P4*INVENTARIO!P4,0)</f>
        <v>3176.1848333333332</v>
      </c>
      <c r="Q4" s="170">
        <f>IF(CostoTotal!Q4&gt;0,CostoTotal!Q4*INVENTARIO!Q4,0)</f>
        <v>6197.0811666666659</v>
      </c>
      <c r="R4" s="171"/>
      <c r="S4" s="172">
        <f t="shared" ref="S4:S29" si="0">SUM(C4:R4)</f>
        <v>55348.930499999988</v>
      </c>
    </row>
    <row r="5" spans="1:19" ht="20.25" customHeight="1" thickBot="1" x14ac:dyDescent="0.25">
      <c r="A5" s="162">
        <v>3</v>
      </c>
      <c r="B5" s="23" t="s">
        <v>138</v>
      </c>
      <c r="C5" s="170">
        <f>IF(CostoTotal!C5&gt;0,CostoTotal!C5*INVENTARIO!C5,0)</f>
        <v>0</v>
      </c>
      <c r="D5" s="170">
        <f>IF(CostoTotal!D5&gt;0,CostoTotal!D5*INVENTARIO!D5,0)</f>
        <v>0</v>
      </c>
      <c r="E5" s="170">
        <f>IF(CostoTotal!E5&gt;0,CostoTotal!E5*INVENTARIO!E5,0)</f>
        <v>0</v>
      </c>
      <c r="F5" s="170">
        <f>IF(CostoTotal!F5&gt;0,CostoTotal!F5*INVENTARIO!F5,0)</f>
        <v>144.26193333333333</v>
      </c>
      <c r="G5" s="170">
        <f>IF(CostoTotal!G5&gt;0,CostoTotal!G5*INVENTARIO!G5,0)</f>
        <v>0</v>
      </c>
      <c r="H5" s="170">
        <f>IF(CostoTotal!H5&gt;0,CostoTotal!H5*INVENTARIO!H5,0)</f>
        <v>312.16386666666671</v>
      </c>
      <c r="I5" s="170">
        <f>IF(CostoTotal!I5&gt;0,CostoTotal!I5*INVENTARIO!I5,0)</f>
        <v>0</v>
      </c>
      <c r="J5" s="170">
        <f>IF(CostoTotal!J5&gt;0,CostoTotal!J5*INVENTARIO!J5,0)</f>
        <v>1369.5364333333334</v>
      </c>
      <c r="K5" s="170">
        <f>IF(CostoTotal!K5&gt;0,CostoTotal!K5*INVENTARIO!K5,0)</f>
        <v>0</v>
      </c>
      <c r="L5" s="170">
        <f>IF(CostoTotal!L5&gt;0,CostoTotal!L5*INVENTARIO!L5,0)</f>
        <v>0</v>
      </c>
      <c r="M5" s="170">
        <f>IF(CostoTotal!M5&gt;0,CostoTotal!M5*INVENTARIO!M5,0)</f>
        <v>0</v>
      </c>
      <c r="N5" s="170">
        <f>IF(CostoTotal!N5&gt;0,CostoTotal!N5*INVENTARIO!N5,0)</f>
        <v>0</v>
      </c>
      <c r="O5" s="170">
        <f>IF(CostoTotal!O5&gt;0,CostoTotal!O5*INVENTARIO!O5,0)</f>
        <v>0</v>
      </c>
      <c r="P5" s="170">
        <f>IF(CostoTotal!P5&gt;0,CostoTotal!P5*INVENTARIO!P5,0)</f>
        <v>0</v>
      </c>
      <c r="Q5" s="170">
        <f>IF(CostoTotal!Q5&gt;0,CostoTotal!Q5*INVENTARIO!Q5,0)</f>
        <v>0</v>
      </c>
      <c r="R5" s="171"/>
      <c r="S5" s="172">
        <f t="shared" si="0"/>
        <v>1825.9622333333334</v>
      </c>
    </row>
    <row r="6" spans="1:19" ht="20.25" customHeight="1" thickBot="1" x14ac:dyDescent="0.25">
      <c r="A6" s="163">
        <v>4</v>
      </c>
      <c r="B6" s="25" t="s">
        <v>3</v>
      </c>
      <c r="C6" s="170">
        <f>IF(CostoTotal!C6&gt;0,CostoTotal!C6*INVENTARIO!C6,0)</f>
        <v>0</v>
      </c>
      <c r="D6" s="170">
        <f>IF(CostoTotal!D6&gt;0,CostoTotal!D6*INVENTARIO!D6,0)</f>
        <v>0</v>
      </c>
      <c r="E6" s="170">
        <f>IF(CostoTotal!E6&gt;0,CostoTotal!E6*INVENTARIO!E6,0)</f>
        <v>0</v>
      </c>
      <c r="F6" s="170">
        <f>IF(CostoTotal!F6&gt;0,CostoTotal!F6*INVENTARIO!F6,0)</f>
        <v>0</v>
      </c>
      <c r="G6" s="170">
        <f>IF(CostoTotal!G6&gt;0,CostoTotal!G6*INVENTARIO!G6,0)</f>
        <v>0</v>
      </c>
      <c r="H6" s="170">
        <f>IF(CostoTotal!H6&gt;0,CostoTotal!H6*INVENTARIO!H6,0)</f>
        <v>0</v>
      </c>
      <c r="I6" s="170">
        <f>IF(CostoTotal!I6&gt;0,CostoTotal!I6*INVENTARIO!I6,0)</f>
        <v>0</v>
      </c>
      <c r="J6" s="170">
        <f>IF(CostoTotal!J6&gt;0,CostoTotal!J6*INVENTARIO!J6,0)</f>
        <v>0</v>
      </c>
      <c r="K6" s="170">
        <f>IF(CostoTotal!K6&gt;0,CostoTotal!K6*INVENTARIO!K6,0)</f>
        <v>0</v>
      </c>
      <c r="L6" s="170">
        <f>IF(CostoTotal!L6&gt;0,CostoTotal!L6*INVENTARIO!L6,0)</f>
        <v>0</v>
      </c>
      <c r="M6" s="170">
        <f>IF(CostoTotal!M6&gt;0,CostoTotal!M6*INVENTARIO!M6,0)</f>
        <v>0</v>
      </c>
      <c r="N6" s="170">
        <f>IF(CostoTotal!N6&gt;0,CostoTotal!N6*INVENTARIO!N6,0)</f>
        <v>0</v>
      </c>
      <c r="O6" s="170">
        <f>IF(CostoTotal!O6&gt;0,CostoTotal!O6*INVENTARIO!O6,0)</f>
        <v>0</v>
      </c>
      <c r="P6" s="170">
        <f>IF(CostoTotal!P6&gt;0,CostoTotal!P6*INVENTARIO!P6,0)</f>
        <v>0</v>
      </c>
      <c r="Q6" s="170">
        <f>IF(CostoTotal!Q6&gt;0,CostoTotal!Q6*INVENTARIO!Q6,0)</f>
        <v>0</v>
      </c>
      <c r="R6" s="171"/>
      <c r="S6" s="172">
        <f t="shared" si="0"/>
        <v>0</v>
      </c>
    </row>
    <row r="7" spans="1:19" ht="20.25" customHeight="1" thickBot="1" x14ac:dyDescent="0.25">
      <c r="A7" s="162">
        <v>5</v>
      </c>
      <c r="B7" s="23" t="s">
        <v>5</v>
      </c>
      <c r="C7" s="170">
        <f>IF(CostoTotal!C7&gt;0,CostoTotal!C7*INVENTARIO!C7,0)</f>
        <v>1611.2181252032519</v>
      </c>
      <c r="D7" s="170">
        <f>IF(CostoTotal!D7&gt;0,CostoTotal!D7*INVENTARIO!D7,0)</f>
        <v>1511.5139532520325</v>
      </c>
      <c r="E7" s="170">
        <f>IF(CostoTotal!E7&gt;0,CostoTotal!E7*INVENTARIO!E7,0)</f>
        <v>1457.6850711382112</v>
      </c>
      <c r="F7" s="170">
        <f>IF(CostoTotal!F7&gt;0,CostoTotal!F7*INVENTARIO!F7,0)</f>
        <v>1195.8043097560974</v>
      </c>
      <c r="G7" s="170">
        <f>IF(CostoTotal!G7&gt;0,CostoTotal!G7*INVENTARIO!G7,0)</f>
        <v>1109.6100227642278</v>
      </c>
      <c r="H7" s="170">
        <f>IF(CostoTotal!H7&gt;0,CostoTotal!H7*INVENTARIO!H7,0)</f>
        <v>1128.6143719512197</v>
      </c>
      <c r="I7" s="170">
        <f>IF(CostoTotal!I7&gt;0,CostoTotal!I7*INVENTARIO!I7,0)</f>
        <v>1788.0496662601624</v>
      </c>
      <c r="J7" s="170">
        <f>IF(CostoTotal!J7&gt;0,CostoTotal!J7*INVENTARIO!J7,0)</f>
        <v>1444.3491878048783</v>
      </c>
      <c r="K7" s="170">
        <f>IF(CostoTotal!K7&gt;0,CostoTotal!K7*INVENTARIO!K7,0)</f>
        <v>0</v>
      </c>
      <c r="L7" s="170">
        <f>IF(CostoTotal!L7&gt;0,CostoTotal!L7*INVENTARIO!L7,0)</f>
        <v>347.93655447154475</v>
      </c>
      <c r="M7" s="170">
        <f>IF(CostoTotal!M7&gt;0,CostoTotal!M7*INVENTARIO!M7,0)</f>
        <v>0</v>
      </c>
      <c r="N7" s="170">
        <f>IF(CostoTotal!N7&gt;0,CostoTotal!N7*INVENTARIO!N7,0)</f>
        <v>0</v>
      </c>
      <c r="O7" s="170">
        <f>IF(CostoTotal!O7&gt;0,CostoTotal!O7*INVENTARIO!O7,0)</f>
        <v>0</v>
      </c>
      <c r="P7" s="170">
        <f>IF(CostoTotal!P7&gt;0,CostoTotal!P7*INVENTARIO!P7,0)</f>
        <v>0</v>
      </c>
      <c r="Q7" s="170">
        <f>IF(CostoTotal!Q7&gt;0,CostoTotal!Q7*INVENTARIO!Q7,0)</f>
        <v>0</v>
      </c>
      <c r="R7" s="171"/>
      <c r="S7" s="172">
        <f t="shared" si="0"/>
        <v>11594.781262601628</v>
      </c>
    </row>
    <row r="8" spans="1:19" ht="20.25" customHeight="1" thickBot="1" x14ac:dyDescent="0.25">
      <c r="A8" s="163">
        <v>6</v>
      </c>
      <c r="B8" s="25" t="s">
        <v>6</v>
      </c>
      <c r="C8" s="170">
        <f>IF(CostoTotal!C8&gt;0,CostoTotal!C8*INVENTARIO!C8,0)</f>
        <v>1418.081648780488</v>
      </c>
      <c r="D8" s="170">
        <f>IF(CostoTotal!D8&gt;0,CostoTotal!D8*INVENTARIO!D8,0)</f>
        <v>724.59844390243893</v>
      </c>
      <c r="E8" s="170">
        <f>IF(CostoTotal!E8&gt;0,CostoTotal!E8*INVENTARIO!E8,0)</f>
        <v>426.28009756097561</v>
      </c>
      <c r="F8" s="170">
        <f>IF(CostoTotal!F8&gt;0,CostoTotal!F8*INVENTARIO!F8,0)</f>
        <v>1156.9069536585366</v>
      </c>
      <c r="G8" s="170">
        <f>IF(CostoTotal!G8&gt;0,CostoTotal!G8*INVENTARIO!G8,0)</f>
        <v>863.86708536585365</v>
      </c>
      <c r="H8" s="170">
        <f>IF(CostoTotal!H8&gt;0,CostoTotal!H8*INVENTARIO!H8,0)</f>
        <v>886.79588780487825</v>
      </c>
      <c r="I8" s="170">
        <f>IF(CostoTotal!I8&gt;0,CostoTotal!I8*INVENTARIO!I8,0)</f>
        <v>834.28809512195119</v>
      </c>
      <c r="J8" s="170">
        <f>IF(CostoTotal!J8&gt;0,CostoTotal!J8*INVENTARIO!J8,0)</f>
        <v>1055.7088390243903</v>
      </c>
      <c r="K8" s="170">
        <f>IF(CostoTotal!K8&gt;0,CostoTotal!K8*INVENTARIO!K8,0)</f>
        <v>0</v>
      </c>
      <c r="L8" s="170">
        <f>IF(CostoTotal!L8&gt;0,CostoTotal!L8*INVENTARIO!L8,0)</f>
        <v>0</v>
      </c>
      <c r="M8" s="170">
        <f>IF(CostoTotal!M8&gt;0,CostoTotal!M8*INVENTARIO!M8,0)</f>
        <v>0</v>
      </c>
      <c r="N8" s="170">
        <f>IF(CostoTotal!N8&gt;0,CostoTotal!N8*INVENTARIO!N8,0)</f>
        <v>0</v>
      </c>
      <c r="O8" s="170">
        <f>IF(CostoTotal!O8&gt;0,CostoTotal!O8*INVENTARIO!O8,0)</f>
        <v>0</v>
      </c>
      <c r="P8" s="170">
        <f>IF(CostoTotal!P8&gt;0,CostoTotal!P8*INVENTARIO!P8,0)</f>
        <v>0</v>
      </c>
      <c r="Q8" s="170">
        <f>IF(CostoTotal!Q8&gt;0,CostoTotal!Q8*INVENTARIO!Q8,0)</f>
        <v>0</v>
      </c>
      <c r="R8" s="171"/>
      <c r="S8" s="172">
        <f t="shared" si="0"/>
        <v>7366.5270512195129</v>
      </c>
    </row>
    <row r="9" spans="1:19" ht="20.25" customHeight="1" thickBot="1" x14ac:dyDescent="0.25">
      <c r="A9" s="162">
        <v>7</v>
      </c>
      <c r="B9" s="23" t="s">
        <v>7</v>
      </c>
      <c r="C9" s="170">
        <f>IF(CostoTotal!C9&gt;0,CostoTotal!C9*INVENTARIO!C9,0)</f>
        <v>320.79806546666669</v>
      </c>
      <c r="D9" s="170">
        <f>IF(CostoTotal!D9&gt;0,CostoTotal!D9*INVENTARIO!D9,0)</f>
        <v>0</v>
      </c>
      <c r="E9" s="170">
        <f>IF(CostoTotal!E9&gt;0,CostoTotal!E9*INVENTARIO!E9,0)</f>
        <v>47.485598266666663</v>
      </c>
      <c r="F9" s="170">
        <f>IF(CostoTotal!F9&gt;0,CostoTotal!F9*INVENTARIO!F9,0)</f>
        <v>0</v>
      </c>
      <c r="G9" s="170">
        <f>IF(CostoTotal!G9&gt;0,CostoTotal!G9*INVENTARIO!G9,0)</f>
        <v>1128.0218370666666</v>
      </c>
      <c r="H9" s="170">
        <f>IF(CostoTotal!H9&gt;0,CostoTotal!H9*INVENTARIO!H9,0)</f>
        <v>4875.3677034666662</v>
      </c>
      <c r="I9" s="170">
        <f>IF(CostoTotal!I9&gt;0,CostoTotal!I9*INVENTARIO!I9,0)</f>
        <v>524.57507866666663</v>
      </c>
      <c r="J9" s="170">
        <f>IF(CostoTotal!J9&gt;0,CostoTotal!J9*INVENTARIO!J9,0)</f>
        <v>106.57231893333334</v>
      </c>
      <c r="K9" s="170">
        <f>IF(CostoTotal!K9&gt;0,CostoTotal!K9*INVENTARIO!K9,0)</f>
        <v>0</v>
      </c>
      <c r="L9" s="170">
        <f>IF(CostoTotal!L9&gt;0,CostoTotal!L9*INVENTARIO!L9,0)</f>
        <v>0</v>
      </c>
      <c r="M9" s="170">
        <f>IF(CostoTotal!M9&gt;0,CostoTotal!M9*INVENTARIO!M9,0)</f>
        <v>879.0954026666667</v>
      </c>
      <c r="N9" s="170">
        <f>IF(CostoTotal!N9&gt;0,CostoTotal!N9*INVENTARIO!N9,0)</f>
        <v>892.35382826666671</v>
      </c>
      <c r="O9" s="170">
        <f>IF(CostoTotal!O9&gt;0,CostoTotal!O9*INVENTARIO!O9,0)</f>
        <v>4319.6517834666674</v>
      </c>
      <c r="P9" s="170">
        <f>IF(CostoTotal!P9&gt;0,CostoTotal!P9*INVENTARIO!P9,0)</f>
        <v>1158.0586533333335</v>
      </c>
      <c r="Q9" s="170">
        <f>IF(CostoTotal!Q9&gt;0,CostoTotal!Q9*INVENTARIO!Q9,0)</f>
        <v>2105.3245453333334</v>
      </c>
      <c r="R9" s="171"/>
      <c r="S9" s="172">
        <f t="shared" si="0"/>
        <v>16357.304814933334</v>
      </c>
    </row>
    <row r="10" spans="1:19" ht="20.25" customHeight="1" thickBot="1" x14ac:dyDescent="0.25">
      <c r="A10" s="163">
        <v>8</v>
      </c>
      <c r="B10" s="25" t="s">
        <v>133</v>
      </c>
      <c r="C10" s="170">
        <f>IF(CostoTotal!C10&gt;0,CostoTotal!C10*INVENTARIO!C10,0)</f>
        <v>732.64815600000009</v>
      </c>
      <c r="D10" s="170">
        <f>IF(CostoTotal!D10&gt;0,CostoTotal!D10*INVENTARIO!D10,0)</f>
        <v>1539.827722</v>
      </c>
      <c r="E10" s="170">
        <f>IF(CostoTotal!E10&gt;0,CostoTotal!E10*INVENTARIO!E10,0)</f>
        <v>1161.5118127999999</v>
      </c>
      <c r="F10" s="170">
        <f>IF(CostoTotal!F10&gt;0,CostoTotal!F10*INVENTARIO!F10,0)</f>
        <v>1414.6535088000001</v>
      </c>
      <c r="G10" s="170">
        <f>IF(CostoTotal!G10&gt;0,CostoTotal!G10*INVENTARIO!G10,0)</f>
        <v>1164.9208871999999</v>
      </c>
      <c r="H10" s="170">
        <f>IF(CostoTotal!H10&gt;0,CostoTotal!H10*INVENTARIO!H10,0)</f>
        <v>1233.4149783999999</v>
      </c>
      <c r="I10" s="170">
        <f>IF(CostoTotal!I10&gt;0,CostoTotal!I10*INVENTARIO!I10,0)</f>
        <v>1982.967392</v>
      </c>
      <c r="J10" s="170">
        <f>IF(CostoTotal!J10&gt;0,CostoTotal!J10*INVENTARIO!J10,0)</f>
        <v>1092.2123932</v>
      </c>
      <c r="K10" s="170">
        <f>IF(CostoTotal!K10&gt;0,CostoTotal!K10*INVENTARIO!K10,0)</f>
        <v>0</v>
      </c>
      <c r="L10" s="170">
        <f>IF(CostoTotal!L10&gt;0,CostoTotal!L10*INVENTARIO!L10,0)</f>
        <v>0</v>
      </c>
      <c r="M10" s="170">
        <f>IF(CostoTotal!M10&gt;0,CostoTotal!M10*INVENTARIO!M10,0)</f>
        <v>0</v>
      </c>
      <c r="N10" s="170">
        <f>IF(CostoTotal!N10&gt;0,CostoTotal!N10*INVENTARIO!N10,0)</f>
        <v>0</v>
      </c>
      <c r="O10" s="170">
        <f>IF(CostoTotal!O10&gt;0,CostoTotal!O10*INVENTARIO!O10,0)</f>
        <v>0</v>
      </c>
      <c r="P10" s="170">
        <f>IF(CostoTotal!P10&gt;0,CostoTotal!P10*INVENTARIO!P10,0)</f>
        <v>0</v>
      </c>
      <c r="Q10" s="170">
        <f>IF(CostoTotal!Q10&gt;0,CostoTotal!Q10*INVENTARIO!Q10,0)</f>
        <v>0</v>
      </c>
      <c r="R10" s="171"/>
      <c r="S10" s="172">
        <f t="shared" si="0"/>
        <v>10322.156850400001</v>
      </c>
    </row>
    <row r="11" spans="1:19" ht="20.25" customHeight="1" thickBot="1" x14ac:dyDescent="0.25">
      <c r="A11" s="162">
        <v>9</v>
      </c>
      <c r="B11" s="23" t="s">
        <v>8</v>
      </c>
      <c r="C11" s="170">
        <f>IF(CostoTotal!C11&gt;0,CostoTotal!C11*INVENTARIO!C11,0)</f>
        <v>580.1047254794521</v>
      </c>
      <c r="D11" s="170">
        <f>IF(CostoTotal!D11&gt;0,CostoTotal!D11*INVENTARIO!D11,0)</f>
        <v>538.30118557077628</v>
      </c>
      <c r="E11" s="170">
        <f>IF(CostoTotal!E11&gt;0,CostoTotal!E11*INVENTARIO!E11,0)</f>
        <v>421.01250018264847</v>
      </c>
      <c r="F11" s="170">
        <f>IF(CostoTotal!F11&gt;0,CostoTotal!F11*INVENTARIO!F11,0)</f>
        <v>649.69697771689516</v>
      </c>
      <c r="G11" s="170">
        <f>IF(CostoTotal!G11&gt;0,CostoTotal!G11*INVENTARIO!G11,0)</f>
        <v>378.16874109589043</v>
      </c>
      <c r="H11" s="170">
        <f>IF(CostoTotal!H11&gt;0,CostoTotal!H11*INVENTARIO!H11,0)</f>
        <v>665.15166264840184</v>
      </c>
      <c r="I11" s="170">
        <f>IF(CostoTotal!I11&gt;0,CostoTotal!I11*INVENTARIO!I11,0)</f>
        <v>631.81847890410961</v>
      </c>
      <c r="J11" s="170">
        <f>IF(CostoTotal!J11&gt;0,CostoTotal!J11*INVENTARIO!J11,0)</f>
        <v>269.20180913242012</v>
      </c>
      <c r="K11" s="170">
        <f>IF(CostoTotal!K11&gt;0,CostoTotal!K11*INVENTARIO!K11,0)</f>
        <v>0</v>
      </c>
      <c r="L11" s="170">
        <f>IF(CostoTotal!L11&gt;0,CostoTotal!L11*INVENTARIO!L11,0)</f>
        <v>411.60435753424656</v>
      </c>
      <c r="M11" s="170">
        <f>IF(CostoTotal!M11&gt;0,CostoTotal!M11*INVENTARIO!M11,0)</f>
        <v>808.69686292237441</v>
      </c>
      <c r="N11" s="170">
        <f>IF(CostoTotal!N11&gt;0,CostoTotal!N11*INVENTARIO!N11,0)</f>
        <v>1104.9443706849315</v>
      </c>
      <c r="O11" s="170">
        <f>IF(CostoTotal!O11&gt;0,CostoTotal!O11*INVENTARIO!O11,0)</f>
        <v>1148.1365515981736</v>
      </c>
      <c r="P11" s="170">
        <f>IF(CostoTotal!P11&gt;0,CostoTotal!P11*INVENTARIO!P11,0)</f>
        <v>205.60488283105025</v>
      </c>
      <c r="Q11" s="170">
        <f>IF(CostoTotal!Q11&gt;0,CostoTotal!Q11*INVENTARIO!Q11,0)</f>
        <v>239.73229662100456</v>
      </c>
      <c r="R11" s="171"/>
      <c r="S11" s="172">
        <f t="shared" si="0"/>
        <v>8052.1754029223748</v>
      </c>
    </row>
    <row r="12" spans="1:19" ht="20.25" customHeight="1" thickBot="1" x14ac:dyDescent="0.25">
      <c r="A12" s="163">
        <v>10</v>
      </c>
      <c r="B12" s="25" t="s">
        <v>134</v>
      </c>
      <c r="C12" s="170">
        <f>IF(CostoTotal!C12&gt;0,CostoTotal!C12*INVENTARIO!C12,0)</f>
        <v>0</v>
      </c>
      <c r="D12" s="170">
        <f>IF(CostoTotal!D12&gt;0,CostoTotal!D12*INVENTARIO!D12,0)</f>
        <v>0</v>
      </c>
      <c r="E12" s="170">
        <f>IF(CostoTotal!E12&gt;0,CostoTotal!E12*INVENTARIO!E12,0)</f>
        <v>0</v>
      </c>
      <c r="F12" s="170">
        <f>IF(CostoTotal!F12&gt;0,CostoTotal!F12*INVENTARIO!F12,0)</f>
        <v>625.4754906666667</v>
      </c>
      <c r="G12" s="170">
        <f>IF(CostoTotal!G12&gt;0,CostoTotal!G12*INVENTARIO!G12,0)</f>
        <v>34.091346666666666</v>
      </c>
      <c r="H12" s="170">
        <f>IF(CostoTotal!H12&gt;0,CostoTotal!H12*INVENTARIO!H12,0)</f>
        <v>412.75223733333337</v>
      </c>
      <c r="I12" s="170">
        <f>IF(CostoTotal!I12&gt;0,CostoTotal!I12*INVENTARIO!I12,0)</f>
        <v>580.41771999999992</v>
      </c>
      <c r="J12" s="170">
        <f>IF(CostoTotal!J12&gt;0,CostoTotal!J12*INVENTARIO!J12,0)</f>
        <v>0</v>
      </c>
      <c r="K12" s="170">
        <f>IF(CostoTotal!K12&gt;0,CostoTotal!K12*INVENTARIO!K12,0)</f>
        <v>0</v>
      </c>
      <c r="L12" s="170">
        <f>IF(CostoTotal!L12&gt;0,CostoTotal!L12*INVENTARIO!L12,0)</f>
        <v>0</v>
      </c>
      <c r="M12" s="170">
        <f>IF(CostoTotal!M12&gt;0,CostoTotal!M12*INVENTARIO!M12,0)</f>
        <v>0</v>
      </c>
      <c r="N12" s="170">
        <f>IF(CostoTotal!N12&gt;0,CostoTotal!N12*INVENTARIO!N12,0)</f>
        <v>0</v>
      </c>
      <c r="O12" s="170">
        <f>IF(CostoTotal!O12&gt;0,CostoTotal!O12*INVENTARIO!O12,0)</f>
        <v>0</v>
      </c>
      <c r="P12" s="170">
        <f>IF(CostoTotal!P12&gt;0,CostoTotal!P12*INVENTARIO!P12,0)</f>
        <v>0</v>
      </c>
      <c r="Q12" s="170">
        <f>IF(CostoTotal!Q12&gt;0,CostoTotal!Q12*INVENTARIO!Q12,0)</f>
        <v>0</v>
      </c>
      <c r="R12" s="171"/>
      <c r="S12" s="172">
        <f t="shared" si="0"/>
        <v>1652.7367946666668</v>
      </c>
    </row>
    <row r="13" spans="1:19" ht="20.25" customHeight="1" thickBot="1" x14ac:dyDescent="0.25">
      <c r="A13" s="162">
        <v>11</v>
      </c>
      <c r="B13" s="23" t="s">
        <v>135</v>
      </c>
      <c r="C13" s="170">
        <f>IF(CostoTotal!C13&gt;0,CostoTotal!C13*INVENTARIO!C13,0)</f>
        <v>500.48784800000004</v>
      </c>
      <c r="D13" s="170">
        <f>IF(CostoTotal!D13&gt;0,CostoTotal!D13*INVENTARIO!D13,0)</f>
        <v>715.40616399999988</v>
      </c>
      <c r="E13" s="170">
        <f>IF(CostoTotal!E13&gt;0,CostoTotal!E13*INVENTARIO!E13,0)</f>
        <v>395.56780000000003</v>
      </c>
      <c r="F13" s="170">
        <f>IF(CostoTotal!F13&gt;0,CostoTotal!F13*INVENTARIO!F13,0)</f>
        <v>533.27638000000002</v>
      </c>
      <c r="G13" s="170">
        <f>IF(CostoTotal!G13&gt;0,CostoTotal!G13*INVENTARIO!G13,0)</f>
        <v>509.82888000000003</v>
      </c>
      <c r="H13" s="170">
        <f>IF(CostoTotal!H13&gt;0,CostoTotal!H13*INVENTARIO!H13,0)</f>
        <v>498.92799599999995</v>
      </c>
      <c r="I13" s="170">
        <f>IF(CostoTotal!I13&gt;0,CostoTotal!I13*INVENTARIO!I13,0)</f>
        <v>821.21619999999996</v>
      </c>
      <c r="J13" s="170">
        <f>IF(CostoTotal!J13&gt;0,CostoTotal!J13*INVENTARIO!J13,0)</f>
        <v>1087.482168</v>
      </c>
      <c r="K13" s="170">
        <f>IF(CostoTotal!K13&gt;0,CostoTotal!K13*INVENTARIO!K13,0)</f>
        <v>0</v>
      </c>
      <c r="L13" s="170">
        <f>IF(CostoTotal!L13&gt;0,CostoTotal!L13*INVENTARIO!L13,0)</f>
        <v>62.465948000000004</v>
      </c>
      <c r="M13" s="170">
        <f>IF(CostoTotal!M13&gt;0,CostoTotal!M13*INVENTARIO!M13,0)</f>
        <v>0</v>
      </c>
      <c r="N13" s="170">
        <f>IF(CostoTotal!N13&gt;0,CostoTotal!N13*INVENTARIO!N13,0)</f>
        <v>0</v>
      </c>
      <c r="O13" s="170">
        <f>IF(CostoTotal!O13&gt;0,CostoTotal!O13*INVENTARIO!O13,0)</f>
        <v>0</v>
      </c>
      <c r="P13" s="170">
        <f>IF(CostoTotal!P13&gt;0,CostoTotal!P13*INVENTARIO!P13,0)</f>
        <v>0</v>
      </c>
      <c r="Q13" s="170">
        <f>IF(CostoTotal!Q13&gt;0,CostoTotal!Q13*INVENTARIO!Q13,0)</f>
        <v>0</v>
      </c>
      <c r="R13" s="171"/>
      <c r="S13" s="172">
        <f t="shared" si="0"/>
        <v>5124.6593839999996</v>
      </c>
    </row>
    <row r="14" spans="1:19" ht="20.25" customHeight="1" thickBot="1" x14ac:dyDescent="0.25">
      <c r="A14" s="163">
        <v>12</v>
      </c>
      <c r="B14" s="25" t="s">
        <v>9</v>
      </c>
      <c r="C14" s="170">
        <f>IF(CostoTotal!C14&gt;0,CostoTotal!C14*INVENTARIO!C14,0)</f>
        <v>0</v>
      </c>
      <c r="D14" s="170">
        <f>IF(CostoTotal!D14&gt;0,CostoTotal!D14*INVENTARIO!D14,0)</f>
        <v>0</v>
      </c>
      <c r="E14" s="170">
        <f>IF(CostoTotal!E14&gt;0,CostoTotal!E14*INVENTARIO!E14,0)</f>
        <v>0</v>
      </c>
      <c r="F14" s="170">
        <f>IF(CostoTotal!F14&gt;0,CostoTotal!F14*INVENTARIO!F14,0)</f>
        <v>0</v>
      </c>
      <c r="G14" s="170">
        <f>IF(CostoTotal!G14&gt;0,CostoTotal!G14*INVENTARIO!G14,0)</f>
        <v>0</v>
      </c>
      <c r="H14" s="170">
        <f>IF(CostoTotal!H14&gt;0,CostoTotal!H14*INVENTARIO!H14,0)</f>
        <v>0</v>
      </c>
      <c r="I14" s="170">
        <f>IF(CostoTotal!I14&gt;0,CostoTotal!I14*INVENTARIO!I14,0)</f>
        <v>0</v>
      </c>
      <c r="J14" s="170">
        <f>IF(CostoTotal!J14&gt;0,CostoTotal!J14*INVENTARIO!J14,0)</f>
        <v>0</v>
      </c>
      <c r="K14" s="170">
        <f>IF(CostoTotal!K14&gt;0,CostoTotal!K14*INVENTARIO!K14,0)</f>
        <v>2029.1745325203256</v>
      </c>
      <c r="L14" s="170">
        <f>IF(CostoTotal!L14&gt;0,CostoTotal!L14*INVENTARIO!L14,0)</f>
        <v>2171.7385479674804</v>
      </c>
      <c r="M14" s="170">
        <f>IF(CostoTotal!M14&gt;0,CostoTotal!M14*INVENTARIO!M14,0)</f>
        <v>684.89612357723593</v>
      </c>
      <c r="N14" s="170">
        <f>IF(CostoTotal!N14&gt;0,CostoTotal!N14*INVENTARIO!N14,0)</f>
        <v>1047.3468390243904</v>
      </c>
      <c r="O14" s="170">
        <f>IF(CostoTotal!O14&gt;0,CostoTotal!O14*INVENTARIO!O14,0)</f>
        <v>2643.3704146341465</v>
      </c>
      <c r="P14" s="170">
        <f>IF(CostoTotal!P14&gt;0,CostoTotal!P14*INVENTARIO!P14,0)</f>
        <v>0</v>
      </c>
      <c r="Q14" s="170">
        <f>IF(CostoTotal!Q14&gt;0,CostoTotal!Q14*INVENTARIO!Q14,0)</f>
        <v>0</v>
      </c>
      <c r="R14" s="171"/>
      <c r="S14" s="172">
        <f t="shared" si="0"/>
        <v>8576.5264577235794</v>
      </c>
    </row>
    <row r="15" spans="1:19" ht="20.25" customHeight="1" thickBot="1" x14ac:dyDescent="0.25">
      <c r="A15" s="162">
        <v>13</v>
      </c>
      <c r="B15" s="23" t="s">
        <v>10</v>
      </c>
      <c r="C15" s="170">
        <f>IF(CostoTotal!C15&gt;0,CostoTotal!C15*INVENTARIO!C15,0)</f>
        <v>2607.8703333333337</v>
      </c>
      <c r="D15" s="170">
        <f>IF(CostoTotal!D15&gt;0,CostoTotal!D15*INVENTARIO!D15,0)</f>
        <v>4506.280999999999</v>
      </c>
      <c r="E15" s="170">
        <f>IF(CostoTotal!E15&gt;0,CostoTotal!E15*INVENTARIO!E15,0)</f>
        <v>3285.6786666666671</v>
      </c>
      <c r="F15" s="170">
        <f>IF(CostoTotal!F15&gt;0,CostoTotal!F15*INVENTARIO!F15,0)</f>
        <v>2876.0631666666668</v>
      </c>
      <c r="G15" s="170">
        <f>IF(CostoTotal!G15&gt;0,CostoTotal!G15*INVENTARIO!G15,0)</f>
        <v>1385.842333333333</v>
      </c>
      <c r="H15" s="170">
        <f>IF(CostoTotal!H15&gt;0,CostoTotal!H15*INVENTARIO!H15,0)</f>
        <v>3923.2843333333331</v>
      </c>
      <c r="I15" s="170">
        <f>IF(CostoTotal!I15&gt;0,CostoTotal!I15*INVENTARIO!I15,0)</f>
        <v>340.01416666666665</v>
      </c>
      <c r="J15" s="170">
        <f>IF(CostoTotal!J15&gt;0,CostoTotal!J15*INVENTARIO!J15,0)</f>
        <v>3169.5303333333331</v>
      </c>
      <c r="K15" s="170">
        <f>IF(CostoTotal!K15&gt;0,CostoTotal!K15*INVENTARIO!K15,0)</f>
        <v>0</v>
      </c>
      <c r="L15" s="170">
        <f>IF(CostoTotal!L15&gt;0,CostoTotal!L15*INVENTARIO!L15,0)</f>
        <v>2021.2964999999999</v>
      </c>
      <c r="M15" s="170">
        <f>IF(CostoTotal!M15&gt;0,CostoTotal!M15*INVENTARIO!M15,0)</f>
        <v>377.01416666666665</v>
      </c>
      <c r="N15" s="170">
        <f>IF(CostoTotal!N15&gt;0,CostoTotal!N15*INVENTARIO!N15,0)</f>
        <v>681.86549999999988</v>
      </c>
      <c r="O15" s="170">
        <f>IF(CostoTotal!O15&gt;0,CostoTotal!O15*INVENTARIO!O15,0)</f>
        <v>2933.7076666666667</v>
      </c>
      <c r="P15" s="170">
        <f>IF(CostoTotal!P15&gt;0,CostoTotal!P15*INVENTARIO!P15,0)</f>
        <v>0</v>
      </c>
      <c r="Q15" s="170">
        <f>IF(CostoTotal!Q15&gt;0,CostoTotal!Q15*INVENTARIO!Q15,0)</f>
        <v>0</v>
      </c>
      <c r="R15" s="171"/>
      <c r="S15" s="172">
        <f t="shared" si="0"/>
        <v>28108.448166666665</v>
      </c>
    </row>
    <row r="16" spans="1:19" ht="20.25" customHeight="1" thickBot="1" x14ac:dyDescent="0.25">
      <c r="A16" s="162">
        <v>14</v>
      </c>
      <c r="B16" s="23" t="s">
        <v>171</v>
      </c>
      <c r="C16" s="170">
        <f>IF(CostoTotal!C16&gt;0,CostoTotal!C16*INVENTARIO!C16,0)</f>
        <v>0</v>
      </c>
      <c r="D16" s="170">
        <f>IF(CostoTotal!D16&gt;0,CostoTotal!D16*INVENTARIO!D16,0)</f>
        <v>0</v>
      </c>
      <c r="E16" s="170">
        <f>IF(CostoTotal!E16&gt;0,CostoTotal!E16*INVENTARIO!E16,0)</f>
        <v>0</v>
      </c>
      <c r="F16" s="170">
        <f>IF(CostoTotal!F16&gt;0,CostoTotal!F16*INVENTARIO!F16,0)</f>
        <v>0</v>
      </c>
      <c r="G16" s="170">
        <f>IF(CostoTotal!G16&gt;0,CostoTotal!G16*INVENTARIO!G16,0)</f>
        <v>0</v>
      </c>
      <c r="H16" s="170">
        <f>IF(CostoTotal!H16&gt;0,CostoTotal!H16*INVENTARIO!H16,0)</f>
        <v>0</v>
      </c>
      <c r="I16" s="170">
        <f>IF(CostoTotal!I16&gt;0,CostoTotal!I16*INVENTARIO!I16,0)</f>
        <v>0</v>
      </c>
      <c r="J16" s="170">
        <f>IF(CostoTotal!J16&gt;0,CostoTotal!J16*INVENTARIO!J16,0)</f>
        <v>0</v>
      </c>
      <c r="K16" s="170">
        <f>IF(CostoTotal!K16&gt;0,CostoTotal!K16*INVENTARIO!K16,0)</f>
        <v>0</v>
      </c>
      <c r="L16" s="170">
        <f>IF(CostoTotal!L16&gt;0,CostoTotal!L16*INVENTARIO!L16,0)</f>
        <v>0</v>
      </c>
      <c r="M16" s="170">
        <f>IF(CostoTotal!M16&gt;0,CostoTotal!M16*INVENTARIO!M16,0)</f>
        <v>0</v>
      </c>
      <c r="N16" s="170">
        <f>IF(CostoTotal!N16&gt;0,CostoTotal!N16*INVENTARIO!N16,0)</f>
        <v>0</v>
      </c>
      <c r="O16" s="170">
        <f>IF(CostoTotal!O16&gt;0,CostoTotal!O16*INVENTARIO!O16,0)</f>
        <v>0</v>
      </c>
      <c r="P16" s="170">
        <f>IF(CostoTotal!P16&gt;0,CostoTotal!P16*INVENTARIO!P16,0)</f>
        <v>0</v>
      </c>
      <c r="Q16" s="170">
        <f>IF(CostoTotal!Q16&gt;0,CostoTotal!Q16*INVENTARIO!Q16,0)</f>
        <v>0</v>
      </c>
      <c r="R16" s="170">
        <f>IF(CostoTotal!R16&gt;0,CostoTotal!R16*INVENTARIO!R16,0)</f>
        <v>0</v>
      </c>
      <c r="S16" s="172">
        <f t="shared" si="0"/>
        <v>0</v>
      </c>
    </row>
    <row r="17" spans="1:19" ht="20.25" customHeight="1" thickBot="1" x14ac:dyDescent="0.25">
      <c r="A17" s="163">
        <v>15</v>
      </c>
      <c r="B17" s="25" t="s">
        <v>11</v>
      </c>
      <c r="C17" s="170">
        <f>IF(CostoTotal!C17&gt;0,CostoTotal!C17*INVENTARIO!C17,0)</f>
        <v>0</v>
      </c>
      <c r="D17" s="170">
        <f>IF(CostoTotal!D17&gt;0,CostoTotal!D17*INVENTARIO!D17,0)</f>
        <v>0</v>
      </c>
      <c r="E17" s="170">
        <f>IF(CostoTotal!E17&gt;0,CostoTotal!E17*INVENTARIO!E17,0)</f>
        <v>0</v>
      </c>
      <c r="F17" s="170">
        <f>IF(CostoTotal!F17&gt;0,CostoTotal!F17*INVENTARIO!F17,0)</f>
        <v>0</v>
      </c>
      <c r="G17" s="170">
        <f>IF(CostoTotal!G17&gt;0,CostoTotal!G17*INVENTARIO!G17,0)</f>
        <v>0</v>
      </c>
      <c r="H17" s="170">
        <f>IF(CostoTotal!H17&gt;0,CostoTotal!H17*INVENTARIO!H17,0)</f>
        <v>0</v>
      </c>
      <c r="I17" s="170">
        <f>IF(CostoTotal!I17&gt;0,CostoTotal!I17*INVENTARIO!I17,0)</f>
        <v>0</v>
      </c>
      <c r="J17" s="170">
        <f>IF(CostoTotal!J17&gt;0,CostoTotal!J17*INVENTARIO!J17,0)</f>
        <v>0</v>
      </c>
      <c r="K17" s="170">
        <f>IF(CostoTotal!K17&gt;0,CostoTotal!K17*INVENTARIO!K17,0)</f>
        <v>0</v>
      </c>
      <c r="L17" s="170">
        <f>IF(CostoTotal!L17&gt;0,CostoTotal!L17*INVENTARIO!L17,0)</f>
        <v>0</v>
      </c>
      <c r="M17" s="170">
        <f>IF(CostoTotal!M17&gt;0,CostoTotal!M17*INVENTARIO!M17,0)</f>
        <v>0</v>
      </c>
      <c r="N17" s="170">
        <f>IF(CostoTotal!N17&gt;0,CostoTotal!N17*INVENTARIO!N17,0)</f>
        <v>0</v>
      </c>
      <c r="O17" s="170">
        <f>IF(CostoTotal!O17&gt;0,CostoTotal!O17*INVENTARIO!O17,0)</f>
        <v>0</v>
      </c>
      <c r="P17" s="170">
        <f>IF(CostoTotal!P17&gt;0,CostoTotal!P17*INVENTARIO!P17,0)</f>
        <v>0</v>
      </c>
      <c r="Q17" s="170">
        <f>IF(CostoTotal!Q17&gt;0,CostoTotal!Q17*INVENTARIO!Q17,0)</f>
        <v>0</v>
      </c>
      <c r="R17" s="171"/>
      <c r="S17" s="172">
        <f t="shared" si="0"/>
        <v>0</v>
      </c>
    </row>
    <row r="18" spans="1:19" ht="20.25" customHeight="1" thickBot="1" x14ac:dyDescent="0.25">
      <c r="A18" s="162">
        <v>16</v>
      </c>
      <c r="B18" s="23" t="s">
        <v>12</v>
      </c>
      <c r="C18" s="170">
        <f>IF(CostoTotal!C18&gt;0,CostoTotal!C18*INVENTARIO!C18,0)</f>
        <v>0</v>
      </c>
      <c r="D18" s="170">
        <f>IF(CostoTotal!D18&gt;0,CostoTotal!D18*INVENTARIO!D18,0)</f>
        <v>4127.9015215686277</v>
      </c>
      <c r="E18" s="170">
        <f>IF(CostoTotal!E18&gt;0,CostoTotal!E18*INVENTARIO!E18,0)</f>
        <v>6828.9542588235308</v>
      </c>
      <c r="F18" s="170">
        <f>IF(CostoTotal!F18&gt;0,CostoTotal!F18*INVENTARIO!F18,0)</f>
        <v>4493.4170823529412</v>
      </c>
      <c r="G18" s="170">
        <f>IF(CostoTotal!G18&gt;0,CostoTotal!G18*INVENTARIO!G18,0)</f>
        <v>6214.1819686274512</v>
      </c>
      <c r="H18" s="170">
        <f>IF(CostoTotal!H18&gt;0,CostoTotal!H18*INVENTARIO!H18,0)</f>
        <v>2872.3244000000009</v>
      </c>
      <c r="I18" s="170">
        <f>IF(CostoTotal!I18&gt;0,CostoTotal!I18*INVENTARIO!I18,0)</f>
        <v>1070.3253647058825</v>
      </c>
      <c r="J18" s="170">
        <f>IF(CostoTotal!J18&gt;0,CostoTotal!J18*INVENTARIO!J18,0)</f>
        <v>1093.2976000000001</v>
      </c>
      <c r="K18" s="170">
        <f>IF(CostoTotal!K18&gt;0,CostoTotal!K18*INVENTARIO!K18,0)</f>
        <v>0</v>
      </c>
      <c r="L18" s="170">
        <f>IF(CostoTotal!L18&gt;0,CostoTotal!L18*INVENTARIO!L18,0)</f>
        <v>0</v>
      </c>
      <c r="M18" s="170">
        <f>IF(CostoTotal!M18&gt;0,CostoTotal!M18*INVENTARIO!M18,0)</f>
        <v>854.43155294117662</v>
      </c>
      <c r="N18" s="170">
        <f>IF(CostoTotal!N18&gt;0,CostoTotal!N18*INVENTARIO!N18,0)</f>
        <v>1743.3214588235298</v>
      </c>
      <c r="O18" s="170">
        <f>IF(CostoTotal!O18&gt;0,CostoTotal!O18*INVENTARIO!O18,0)</f>
        <v>0</v>
      </c>
      <c r="P18" s="170">
        <f>IF(CostoTotal!P18&gt;0,CostoTotal!P18*INVENTARIO!P18,0)</f>
        <v>1610.8783686274512</v>
      </c>
      <c r="Q18" s="170">
        <f>IF(CostoTotal!Q18&gt;0,CostoTotal!Q18*INVENTARIO!Q18,0)</f>
        <v>1538.9137647058824</v>
      </c>
      <c r="R18" s="171"/>
      <c r="S18" s="172">
        <f t="shared" si="0"/>
        <v>32447.947341176474</v>
      </c>
    </row>
    <row r="19" spans="1:19" ht="20.25" customHeight="1" thickBot="1" x14ac:dyDescent="0.25">
      <c r="A19" s="163">
        <v>17</v>
      </c>
      <c r="B19" s="25" t="s">
        <v>13</v>
      </c>
      <c r="C19" s="170">
        <f>IF(CostoTotal!C19&gt;0,CostoTotal!C19*INVENTARIO!C19,0)</f>
        <v>0</v>
      </c>
      <c r="D19" s="170">
        <f>IF(CostoTotal!D19&gt;0,CostoTotal!D19*INVENTARIO!D19,0)</f>
        <v>1999.3475529411767</v>
      </c>
      <c r="E19" s="170">
        <f>IF(CostoTotal!E19&gt;0,CostoTotal!E19*INVENTARIO!E19,0)</f>
        <v>2357.8314117647064</v>
      </c>
      <c r="F19" s="170">
        <f>IF(CostoTotal!F19&gt;0,CostoTotal!F19*INVENTARIO!F19,0)</f>
        <v>4354.764752941177</v>
      </c>
      <c r="G19" s="170">
        <f>IF(CostoTotal!G19&gt;0,CostoTotal!G19*INVENTARIO!G19,0)</f>
        <v>1023.5353882352942</v>
      </c>
      <c r="H19" s="170">
        <f>IF(CostoTotal!H19&gt;0,CostoTotal!H19*INVENTARIO!H19,0)</f>
        <v>835.79320000000018</v>
      </c>
      <c r="I19" s="170">
        <f>IF(CostoTotal!I19&gt;0,CostoTotal!I19*INVENTARIO!I19,0)</f>
        <v>0</v>
      </c>
      <c r="J19" s="170">
        <f>IF(CostoTotal!J19&gt;0,CostoTotal!J19*INVENTARIO!J19,0)</f>
        <v>0</v>
      </c>
      <c r="K19" s="170">
        <f>IF(CostoTotal!K19&gt;0,CostoTotal!K19*INVENTARIO!K19,0)</f>
        <v>0</v>
      </c>
      <c r="L19" s="170">
        <f>IF(CostoTotal!L19&gt;0,CostoTotal!L19*INVENTARIO!L19,0)</f>
        <v>0</v>
      </c>
      <c r="M19" s="170">
        <f>IF(CostoTotal!M19&gt;0,CostoTotal!M19*INVENTARIO!M19,0)</f>
        <v>0</v>
      </c>
      <c r="N19" s="170">
        <f>IF(CostoTotal!N19&gt;0,CostoTotal!N19*INVENTARIO!N19,0)</f>
        <v>0</v>
      </c>
      <c r="O19" s="170">
        <f>IF(CostoTotal!O19&gt;0,CostoTotal!O19*INVENTARIO!O19,0)</f>
        <v>0</v>
      </c>
      <c r="P19" s="170">
        <f>IF(CostoTotal!P19&gt;0,CostoTotal!P19*INVENTARIO!P19,0)</f>
        <v>0</v>
      </c>
      <c r="Q19" s="170">
        <f>IF(CostoTotal!Q19&gt;0,CostoTotal!Q19*INVENTARIO!Q19,0)</f>
        <v>0</v>
      </c>
      <c r="R19" s="171"/>
      <c r="S19" s="172">
        <f t="shared" si="0"/>
        <v>10571.272305882354</v>
      </c>
    </row>
    <row r="20" spans="1:19" ht="20.25" customHeight="1" thickBot="1" x14ac:dyDescent="0.25">
      <c r="A20" s="162">
        <v>18</v>
      </c>
      <c r="B20" s="23" t="s">
        <v>14</v>
      </c>
      <c r="C20" s="170">
        <f>IF(CostoTotal!C20&gt;0,CostoTotal!C20*INVENTARIO!C20,0)</f>
        <v>0</v>
      </c>
      <c r="D20" s="170">
        <f>IF(CostoTotal!D20&gt;0,CostoTotal!D20*INVENTARIO!D20,0)</f>
        <v>635.82042352941187</v>
      </c>
      <c r="E20" s="170">
        <f>IF(CostoTotal!E20&gt;0,CostoTotal!E20*INVENTARIO!E20,0)</f>
        <v>2016.5793882352946</v>
      </c>
      <c r="F20" s="170">
        <f>IF(CostoTotal!F20&gt;0,CostoTotal!F20*INVENTARIO!F20,0)</f>
        <v>4339.9657411764711</v>
      </c>
      <c r="G20" s="170">
        <f>IF(CostoTotal!G20&gt;0,CostoTotal!G20*INVENTARIO!G20,0)</f>
        <v>0</v>
      </c>
      <c r="H20" s="170">
        <f>IF(CostoTotal!H20&gt;0,CostoTotal!H20*INVENTARIO!H20,0)</f>
        <v>0</v>
      </c>
      <c r="I20" s="170">
        <f>IF(CostoTotal!I20&gt;0,CostoTotal!I20*INVENTARIO!I20,0)</f>
        <v>0</v>
      </c>
      <c r="J20" s="170">
        <f>IF(CostoTotal!J20&gt;0,CostoTotal!J20*INVENTARIO!J20,0)</f>
        <v>0</v>
      </c>
      <c r="K20" s="170">
        <f>IF(CostoTotal!K20&gt;0,CostoTotal!K20*INVENTARIO!K20,0)</f>
        <v>0</v>
      </c>
      <c r="L20" s="170">
        <f>IF(CostoTotal!L20&gt;0,CostoTotal!L20*INVENTARIO!L20,0)</f>
        <v>0</v>
      </c>
      <c r="M20" s="170">
        <f>IF(CostoTotal!M20&gt;0,CostoTotal!M20*INVENTARIO!M20,0)</f>
        <v>0</v>
      </c>
      <c r="N20" s="170">
        <f>IF(CostoTotal!N20&gt;0,CostoTotal!N20*INVENTARIO!N20,0)</f>
        <v>0</v>
      </c>
      <c r="O20" s="170">
        <f>IF(CostoTotal!O20&gt;0,CostoTotal!O20*INVENTARIO!O20,0)</f>
        <v>0</v>
      </c>
      <c r="P20" s="170">
        <f>IF(CostoTotal!P20&gt;0,CostoTotal!P20*INVENTARIO!P20,0)</f>
        <v>0</v>
      </c>
      <c r="Q20" s="170">
        <f>IF(CostoTotal!Q20&gt;0,CostoTotal!Q20*INVENTARIO!Q20,0)</f>
        <v>0</v>
      </c>
      <c r="R20" s="171"/>
      <c r="S20" s="172">
        <f t="shared" si="0"/>
        <v>6992.3655529411772</v>
      </c>
    </row>
    <row r="21" spans="1:19" ht="20.25" customHeight="1" thickBot="1" x14ac:dyDescent="0.25">
      <c r="A21" s="163">
        <v>19</v>
      </c>
      <c r="B21" s="25" t="s">
        <v>132</v>
      </c>
      <c r="C21" s="170">
        <f>IF(CostoTotal!C21&gt;0,CostoTotal!C21*INVENTARIO!C21,0)</f>
        <v>0</v>
      </c>
      <c r="D21" s="170">
        <f>IF(CostoTotal!D21&gt;0,CostoTotal!D21*INVENTARIO!D21,0)</f>
        <v>4869.6596666666665</v>
      </c>
      <c r="E21" s="170">
        <f>IF(CostoTotal!E21&gt;0,CostoTotal!E21*INVENTARIO!E21,0)</f>
        <v>4269.1023333333333</v>
      </c>
      <c r="F21" s="170">
        <f>IF(CostoTotal!F21&gt;0,CostoTotal!F21*INVENTARIO!F21,0)</f>
        <v>3978.3910000000001</v>
      </c>
      <c r="G21" s="170">
        <f>IF(CostoTotal!G21&gt;0,CostoTotal!G21*INVENTARIO!G21,0)</f>
        <v>5688.7213333333339</v>
      </c>
      <c r="H21" s="170">
        <f>IF(CostoTotal!H21&gt;0,CostoTotal!H21*INVENTARIO!H21,0)</f>
        <v>1786.1533333333332</v>
      </c>
      <c r="I21" s="170">
        <f>IF(CostoTotal!I21&gt;0,CostoTotal!I21*INVENTARIO!I21,0)</f>
        <v>2658.8146666666667</v>
      </c>
      <c r="J21" s="170">
        <f>IF(CostoTotal!J21&gt;0,CostoTotal!J21*INVENTARIO!J21,0)</f>
        <v>0</v>
      </c>
      <c r="K21" s="170">
        <f>IF(CostoTotal!K21&gt;0,CostoTotal!K21*INVENTARIO!K21,0)</f>
        <v>0</v>
      </c>
      <c r="L21" s="170">
        <f>IF(CostoTotal!L21&gt;0,CostoTotal!L21*INVENTARIO!L21,0)</f>
        <v>1902.4303333333335</v>
      </c>
      <c r="M21" s="170">
        <f>IF(CostoTotal!M21&gt;0,CostoTotal!M21*INVENTARIO!M21,0)</f>
        <v>3080.1916666666666</v>
      </c>
      <c r="N21" s="170">
        <f>IF(CostoTotal!N21&gt;0,CostoTotal!N21*INVENTARIO!N21,0)</f>
        <v>134.50766666666667</v>
      </c>
      <c r="O21" s="170">
        <f>IF(CostoTotal!O21&gt;0,CostoTotal!O21*INVENTARIO!O21,0)</f>
        <v>0</v>
      </c>
      <c r="P21" s="170">
        <f>IF(CostoTotal!P21&gt;0,CostoTotal!P21*INVENTARIO!P21,0)</f>
        <v>0</v>
      </c>
      <c r="Q21" s="170">
        <f>IF(CostoTotal!Q21&gt;0,CostoTotal!Q21*INVENTARIO!Q21,0)</f>
        <v>0</v>
      </c>
      <c r="R21" s="171"/>
      <c r="S21" s="172">
        <f t="shared" si="0"/>
        <v>28367.971999999998</v>
      </c>
    </row>
    <row r="22" spans="1:19" ht="20.25" customHeight="1" thickBot="1" x14ac:dyDescent="0.25">
      <c r="A22" s="162">
        <v>20</v>
      </c>
      <c r="B22" s="23" t="s">
        <v>131</v>
      </c>
      <c r="C22" s="170">
        <f>IF(CostoTotal!C22&gt;0,CostoTotal!C22*INVENTARIO!C22,0)</f>
        <v>0</v>
      </c>
      <c r="D22" s="170">
        <f>IF(CostoTotal!D22&gt;0,CostoTotal!D22*INVENTARIO!D22,0)</f>
        <v>2137.018333333333</v>
      </c>
      <c r="E22" s="170">
        <f>IF(CostoTotal!E22&gt;0,CostoTotal!E22*INVENTARIO!E22,0)</f>
        <v>400.24599999999998</v>
      </c>
      <c r="F22" s="170">
        <f>IF(CostoTotal!F22&gt;0,CostoTotal!F22*INVENTARIO!F22,0)</f>
        <v>940.64966666666658</v>
      </c>
      <c r="G22" s="170">
        <f>IF(CostoTotal!G22&gt;0,CostoTotal!G22*INVENTARIO!G22,0)</f>
        <v>1170.115</v>
      </c>
      <c r="H22" s="170">
        <f>IF(CostoTotal!H22&gt;0,CostoTotal!H22*INVENTARIO!H22,0)</f>
        <v>1756.8110000000001</v>
      </c>
      <c r="I22" s="170">
        <f>IF(CostoTotal!I22&gt;0,CostoTotal!I22*INVENTARIO!I22,0)</f>
        <v>1607.538</v>
      </c>
      <c r="J22" s="170">
        <f>IF(CostoTotal!J22&gt;0,CostoTotal!J22*INVENTARIO!J22,0)</f>
        <v>0</v>
      </c>
      <c r="K22" s="170">
        <f>IF(CostoTotal!K22&gt;0,CostoTotal!K22*INVENTARIO!K22,0)</f>
        <v>0</v>
      </c>
      <c r="L22" s="170">
        <f>IF(CostoTotal!L22&gt;0,CostoTotal!L22*INVENTARIO!L22,0)</f>
        <v>956.31899999999996</v>
      </c>
      <c r="M22" s="170">
        <f>IF(CostoTotal!M22&gt;0,CostoTotal!M22*INVENTARIO!M22,0)</f>
        <v>0</v>
      </c>
      <c r="N22" s="170">
        <f>IF(CostoTotal!N22&gt;0,CostoTotal!N22*INVENTARIO!N22,0)</f>
        <v>1804.0073333333332</v>
      </c>
      <c r="O22" s="170">
        <f>IF(CostoTotal!O22&gt;0,CostoTotal!O22*INVENTARIO!O22,0)</f>
        <v>840.94600000000003</v>
      </c>
      <c r="P22" s="170">
        <f>IF(CostoTotal!P22&gt;0,CostoTotal!P22*INVENTARIO!P22,0)</f>
        <v>0</v>
      </c>
      <c r="Q22" s="170">
        <f>IF(CostoTotal!Q22&gt;0,CostoTotal!Q22*INVENTARIO!Q22,0)</f>
        <v>0</v>
      </c>
      <c r="R22" s="171"/>
      <c r="S22" s="172">
        <f t="shared" si="0"/>
        <v>11613.650333333333</v>
      </c>
    </row>
    <row r="23" spans="1:19" ht="20.25" customHeight="1" thickBot="1" x14ac:dyDescent="0.25">
      <c r="A23" s="163">
        <v>21</v>
      </c>
      <c r="B23" s="25" t="s">
        <v>129</v>
      </c>
      <c r="C23" s="170">
        <f>IF(CostoTotal!C23&gt;0,CostoTotal!C23*INVENTARIO!C23,0)</f>
        <v>6188.5512459770116</v>
      </c>
      <c r="D23" s="170">
        <f>IF(CostoTotal!D23&gt;0,CostoTotal!D23*INVENTARIO!D23,0)</f>
        <v>285.61828045977012</v>
      </c>
      <c r="E23" s="170">
        <f>IF(CostoTotal!E23&gt;0,CostoTotal!E23*INVENTARIO!E23,0)</f>
        <v>289.93877701149427</v>
      </c>
      <c r="F23" s="170">
        <f>IF(CostoTotal!F23&gt;0,CostoTotal!F23*INVENTARIO!F23,0)</f>
        <v>735.64818390804601</v>
      </c>
      <c r="G23" s="170">
        <f>IF(CostoTotal!G23&gt;0,CostoTotal!G23*INVENTARIO!G23,0)</f>
        <v>9106.6829885057487</v>
      </c>
      <c r="H23" s="170">
        <f>IF(CostoTotal!H23&gt;0,CostoTotal!H23*INVENTARIO!H23,0)</f>
        <v>9268.9078666666665</v>
      </c>
      <c r="I23" s="170">
        <f>IF(CostoTotal!I23&gt;0,CostoTotal!I23*INVENTARIO!I23,0)</f>
        <v>0</v>
      </c>
      <c r="J23" s="170">
        <f>IF(CostoTotal!J23&gt;0,CostoTotal!J23*INVENTARIO!J23,0)</f>
        <v>11138.023462068966</v>
      </c>
      <c r="K23" s="170">
        <f>IF(CostoTotal!K23&gt;0,CostoTotal!K23*INVENTARIO!K23,0)</f>
        <v>0</v>
      </c>
      <c r="L23" s="170">
        <f>IF(CostoTotal!L23&gt;0,CostoTotal!L23*INVENTARIO!L23,0)</f>
        <v>8648.9696045977016</v>
      </c>
      <c r="M23" s="170">
        <f>IF(CostoTotal!M23&gt;0,CostoTotal!M23*INVENTARIO!M23,0)</f>
        <v>16207.530252873566</v>
      </c>
      <c r="N23" s="170">
        <f>IF(CostoTotal!N23&gt;0,CostoTotal!N23*INVENTARIO!N23,0)</f>
        <v>14166.798050574715</v>
      </c>
      <c r="O23" s="170">
        <f>IF(CostoTotal!O23&gt;0,CostoTotal!O23*INVENTARIO!O23,0)</f>
        <v>5578.7814252873568</v>
      </c>
      <c r="P23" s="170">
        <f>IF(CostoTotal!P23&gt;0,CostoTotal!P23*INVENTARIO!P23,0)</f>
        <v>0</v>
      </c>
      <c r="Q23" s="170">
        <f>IF(CostoTotal!Q23&gt;0,CostoTotal!Q23*INVENTARIO!Q23,0)</f>
        <v>0</v>
      </c>
      <c r="R23" s="171"/>
      <c r="S23" s="172">
        <f t="shared" si="0"/>
        <v>81615.450137931039</v>
      </c>
    </row>
    <row r="24" spans="1:19" ht="20.25" customHeight="1" thickBot="1" x14ac:dyDescent="0.25">
      <c r="A24" s="163">
        <v>22</v>
      </c>
      <c r="B24" s="25" t="s">
        <v>172</v>
      </c>
      <c r="C24" s="170">
        <f>IF(CostoTotal!C24&gt;0,CostoTotal!C24*INVENTARIO!C24,0)</f>
        <v>3241.127461609196</v>
      </c>
      <c r="D24" s="170">
        <f>IF(CostoTotal!D24&gt;0,CostoTotal!D24*INVENTARIO!D24,0)</f>
        <v>7010.862844597702</v>
      </c>
      <c r="E24" s="170">
        <f>IF(CostoTotal!E24&gt;0,CostoTotal!E24*INVENTARIO!E24,0)</f>
        <v>3776.216127816092</v>
      </c>
      <c r="F24" s="170">
        <f>IF(CostoTotal!F24&gt;0,CostoTotal!F24*INVENTARIO!F24,0)</f>
        <v>2358.3892818390805</v>
      </c>
      <c r="G24" s="170">
        <f>IF(CostoTotal!G24&gt;0,CostoTotal!G24*INVENTARIO!G24,0)</f>
        <v>4337.2277733333331</v>
      </c>
      <c r="H24" s="170">
        <f>IF(CostoTotal!H24&gt;0,CostoTotal!H24*INVENTARIO!H24,0)</f>
        <v>6766.9025466666662</v>
      </c>
      <c r="I24" s="170">
        <f>IF(CostoTotal!I24&gt;0,CostoTotal!I24*INVENTARIO!I24,0)</f>
        <v>7816.9736721839081</v>
      </c>
      <c r="J24" s="170">
        <f>IF(CostoTotal!J24&gt;0,CostoTotal!J24*INVENTARIO!J24,0)</f>
        <v>2910.4258179310345</v>
      </c>
      <c r="K24" s="170">
        <f>IF(CostoTotal!K24&gt;0,CostoTotal!K24*INVENTARIO!K24,0)</f>
        <v>0</v>
      </c>
      <c r="L24" s="170">
        <f>IF(CostoTotal!L24&gt;0,CostoTotal!L24*INVENTARIO!L24,0)</f>
        <v>1634.5779908045979</v>
      </c>
      <c r="M24" s="170">
        <f>IF(CostoTotal!M24&gt;0,CostoTotal!M24*INVENTARIO!M24,0)</f>
        <v>11448.643421149427</v>
      </c>
      <c r="N24" s="170">
        <f>IF(CostoTotal!N24&gt;0,CostoTotal!N24*INVENTARIO!N24,0)</f>
        <v>14361.948427126437</v>
      </c>
      <c r="O24" s="170">
        <f>IF(CostoTotal!O24&gt;0,CostoTotal!O24*INVENTARIO!O24,0)</f>
        <v>7333.4777406896555</v>
      </c>
      <c r="P24" s="170">
        <f>IF(CostoTotal!P24&gt;0,CostoTotal!P24*INVENTARIO!P24,0)</f>
        <v>5643.9708395402304</v>
      </c>
      <c r="Q24" s="170">
        <f>IF(CostoTotal!Q24&gt;0,CostoTotal!Q24*INVENTARIO!Q24,0)</f>
        <v>1248.3656556321839</v>
      </c>
      <c r="R24" s="170">
        <f>IF(CostoTotal!R24&gt;0,CostoTotal!R24*INVENTARIO!R24,0)</f>
        <v>0</v>
      </c>
      <c r="S24" s="172">
        <f t="shared" si="0"/>
        <v>79889.109600919546</v>
      </c>
    </row>
    <row r="25" spans="1:19" ht="20.25" customHeight="1" thickBot="1" x14ac:dyDescent="0.25">
      <c r="A25" s="162">
        <v>23</v>
      </c>
      <c r="B25" s="23" t="s">
        <v>128</v>
      </c>
      <c r="C25" s="170">
        <f>IF(CostoTotal!C25&gt;0,CostoTotal!C25*INVENTARIO!C25,0)</f>
        <v>5226.8034402298854</v>
      </c>
      <c r="D25" s="170">
        <f>IF(CostoTotal!D25&gt;0,CostoTotal!D25*INVENTARIO!D25,0)</f>
        <v>1820.5621710344831</v>
      </c>
      <c r="E25" s="170">
        <f>IF(CostoTotal!E25&gt;0,CostoTotal!E25*INVENTARIO!E25,0)</f>
        <v>11402.644264367818</v>
      </c>
      <c r="F25" s="170">
        <f>IF(CostoTotal!F25&gt;0,CostoTotal!F25*INVENTARIO!F25,0)</f>
        <v>2659.9230278160926</v>
      </c>
      <c r="G25" s="170">
        <f>IF(CostoTotal!G25&gt;0,CostoTotal!G25*INVENTARIO!G25,0)</f>
        <v>5082.9546740229889</v>
      </c>
      <c r="H25" s="170">
        <f>IF(CostoTotal!H25&gt;0,CostoTotal!H25*INVENTARIO!H25,0)</f>
        <v>4505.4523799999997</v>
      </c>
      <c r="I25" s="170">
        <f>IF(CostoTotal!I25&gt;0,CostoTotal!I25*INVENTARIO!I25,0)</f>
        <v>17601.467496091955</v>
      </c>
      <c r="J25" s="170">
        <f>IF(CostoTotal!J25&gt;0,CostoTotal!J25*INVENTARIO!J25,0)</f>
        <v>10468.890325287357</v>
      </c>
      <c r="K25" s="170">
        <f>IF(CostoTotal!K25&gt;0,CostoTotal!K25*INVENTARIO!K25,0)</f>
        <v>0</v>
      </c>
      <c r="L25" s="170">
        <f>IF(CostoTotal!L25&gt;0,CostoTotal!L25*INVENTARIO!L25,0)</f>
        <v>3297.7421501149429</v>
      </c>
      <c r="M25" s="170">
        <f>IF(CostoTotal!M25&gt;0,CostoTotal!M25*INVENTARIO!M25,0)</f>
        <v>4166.6707947126442</v>
      </c>
      <c r="N25" s="170">
        <f>IF(CostoTotal!N25&gt;0,CostoTotal!N25*INVENTARIO!N25,0)</f>
        <v>2753.0380931034488</v>
      </c>
      <c r="O25" s="170">
        <f>IF(CostoTotal!O25&gt;0,CostoTotal!O25*INVENTARIO!O25,0)</f>
        <v>8151.6191457471268</v>
      </c>
      <c r="P25" s="170">
        <f>IF(CostoTotal!P25&gt;0,CostoTotal!P25*INVENTARIO!P25,0)</f>
        <v>0</v>
      </c>
      <c r="Q25" s="170">
        <f>IF(CostoTotal!Q25&gt;0,CostoTotal!Q25*INVENTARIO!Q25,0)</f>
        <v>0</v>
      </c>
      <c r="R25" s="171"/>
      <c r="S25" s="172">
        <f t="shared" si="0"/>
        <v>77137.767962528742</v>
      </c>
    </row>
    <row r="26" spans="1:19" ht="20.25" customHeight="1" thickBot="1" x14ac:dyDescent="0.25">
      <c r="A26" s="163">
        <v>24</v>
      </c>
      <c r="B26" s="25" t="s">
        <v>130</v>
      </c>
      <c r="C26" s="170">
        <f>IF(CostoTotal!C26&gt;0,CostoTotal!C26*INVENTARIO!C26,0)</f>
        <v>705.34584413793107</v>
      </c>
      <c r="D26" s="170">
        <f>IF(CostoTotal!D26&gt;0,CostoTotal!D26*INVENTARIO!D26,0)</f>
        <v>1488.4606262068967</v>
      </c>
      <c r="E26" s="170">
        <f>IF(CostoTotal!E26&gt;0,CostoTotal!E26*INVENTARIO!E26,0)</f>
        <v>0</v>
      </c>
      <c r="F26" s="170">
        <f>IF(CostoTotal!F26&gt;0,CostoTotal!F26*INVENTARIO!F26,0)</f>
        <v>1461.3320018390805</v>
      </c>
      <c r="G26" s="170">
        <f>IF(CostoTotal!G26&gt;0,CostoTotal!G26*INVENTARIO!G26,0)</f>
        <v>3060.9198933333337</v>
      </c>
      <c r="H26" s="170">
        <f>IF(CostoTotal!H26&gt;0,CostoTotal!H26*INVENTARIO!H26,0)</f>
        <v>3373.730026206897</v>
      </c>
      <c r="I26" s="170">
        <f>IF(CostoTotal!I26&gt;0,CostoTotal!I26*INVENTARIO!I26,0)</f>
        <v>2032.0027314942529</v>
      </c>
      <c r="J26" s="170">
        <f>IF(CostoTotal!J26&gt;0,CostoTotal!J26*INVENTARIO!J26,0)</f>
        <v>6935.1443760919547</v>
      </c>
      <c r="K26" s="170">
        <f>IF(CostoTotal!K26&gt;0,CostoTotal!K26*INVENTARIO!K26,0)</f>
        <v>0</v>
      </c>
      <c r="L26" s="170">
        <f>IF(CostoTotal!L26&gt;0,CostoTotal!L26*INVENTARIO!L26,0)</f>
        <v>16875.921771954025</v>
      </c>
      <c r="M26" s="170">
        <f>IF(CostoTotal!M26&gt;0,CostoTotal!M26*INVENTARIO!M26,0)</f>
        <v>4695.6595131034492</v>
      </c>
      <c r="N26" s="170">
        <f>IF(CostoTotal!N26&gt;0,CostoTotal!N26*INVENTARIO!N26,0)</f>
        <v>5901.8182400000005</v>
      </c>
      <c r="O26" s="170">
        <f>IF(CostoTotal!O26&gt;0,CostoTotal!O26*INVENTARIO!O26,0)</f>
        <v>3012.1816165517243</v>
      </c>
      <c r="P26" s="170">
        <f>IF(CostoTotal!P26&gt;0,CostoTotal!P26*INVENTARIO!P26,0)</f>
        <v>515.384531494253</v>
      </c>
      <c r="Q26" s="170">
        <f>IF(CostoTotal!Q26&gt;0,CostoTotal!Q26*INVENTARIO!Q26,0)</f>
        <v>0</v>
      </c>
      <c r="R26" s="171"/>
      <c r="S26" s="172">
        <f t="shared" si="0"/>
        <v>50057.901172413789</v>
      </c>
    </row>
    <row r="27" spans="1:19" ht="20.25" customHeight="1" thickBot="1" x14ac:dyDescent="0.25">
      <c r="A27" s="162">
        <v>25</v>
      </c>
      <c r="B27" s="23" t="s">
        <v>136</v>
      </c>
      <c r="C27" s="170">
        <f>IF(CostoTotal!C27&gt;0,CostoTotal!C27*INVENTARIO!C27,0)</f>
        <v>0</v>
      </c>
      <c r="D27" s="170">
        <f>IF(CostoTotal!D27&gt;0,CostoTotal!D27*INVENTARIO!D27,0)</f>
        <v>0</v>
      </c>
      <c r="E27" s="170">
        <f>IF(CostoTotal!E27&gt;0,CostoTotal!E27*INVENTARIO!E27,0)</f>
        <v>0</v>
      </c>
      <c r="F27" s="170">
        <f>IF(CostoTotal!F27&gt;0,CostoTotal!F27*INVENTARIO!F27,0)</f>
        <v>0</v>
      </c>
      <c r="G27" s="170">
        <f>IF(CostoTotal!G27&gt;0,CostoTotal!G27*INVENTARIO!G27,0)</f>
        <v>0</v>
      </c>
      <c r="H27" s="170">
        <f>IF(CostoTotal!H27&gt;0,CostoTotal!H27*INVENTARIO!H27,0)</f>
        <v>0</v>
      </c>
      <c r="I27" s="170">
        <f>IF(CostoTotal!I27&gt;0,CostoTotal!I27*INVENTARIO!I27,0)</f>
        <v>0</v>
      </c>
      <c r="J27" s="170">
        <f>IF(CostoTotal!J27&gt;0,CostoTotal!J27*INVENTARIO!J27,0)</f>
        <v>0</v>
      </c>
      <c r="K27" s="170">
        <f>IF(CostoTotal!K27&gt;0,CostoTotal!K27*INVENTARIO!K27,0)</f>
        <v>0</v>
      </c>
      <c r="L27" s="170">
        <f>IF(CostoTotal!L27&gt;0,CostoTotal!L27*INVENTARIO!L27,0)</f>
        <v>0</v>
      </c>
      <c r="M27" s="170">
        <f>IF(CostoTotal!M27&gt;0,CostoTotal!M27*INVENTARIO!M27,0)</f>
        <v>0</v>
      </c>
      <c r="N27" s="170">
        <f>IF(CostoTotal!N27&gt;0,CostoTotal!N27*INVENTARIO!N27,0)</f>
        <v>0</v>
      </c>
      <c r="O27" s="170">
        <f>IF(CostoTotal!O27&gt;0,CostoTotal!O27*INVENTARIO!O27,0)</f>
        <v>0</v>
      </c>
      <c r="P27" s="170">
        <f>IF(CostoTotal!P27&gt;0,CostoTotal!P27*INVENTARIO!P27,0)</f>
        <v>0</v>
      </c>
      <c r="Q27" s="170">
        <f>IF(CostoTotal!Q27&gt;0,CostoTotal!Q27*INVENTARIO!Q27,0)</f>
        <v>0</v>
      </c>
      <c r="R27" s="171"/>
      <c r="S27" s="172">
        <f t="shared" si="0"/>
        <v>0</v>
      </c>
    </row>
    <row r="28" spans="1:19" ht="20.25" customHeight="1" thickBot="1" x14ac:dyDescent="0.25">
      <c r="A28" s="163">
        <v>26</v>
      </c>
      <c r="B28" s="25" t="s">
        <v>137</v>
      </c>
      <c r="C28" s="170">
        <f>IF(CostoTotal!C28&gt;0,CostoTotal!C28*INVENTARIO!C28,0)</f>
        <v>0</v>
      </c>
      <c r="D28" s="170">
        <f>IF(CostoTotal!D28&gt;0,CostoTotal!D28*INVENTARIO!D28,0)</f>
        <v>0</v>
      </c>
      <c r="E28" s="170">
        <f>IF(CostoTotal!E28&gt;0,CostoTotal!E28*INVENTARIO!E28,0)</f>
        <v>0</v>
      </c>
      <c r="F28" s="170">
        <f>IF(CostoTotal!F28&gt;0,CostoTotal!F28*INVENTARIO!F28,0)</f>
        <v>0</v>
      </c>
      <c r="G28" s="170">
        <f>IF(CostoTotal!G28&gt;0,CostoTotal!G28*INVENTARIO!G28,0)</f>
        <v>0</v>
      </c>
      <c r="H28" s="170">
        <f>IF(CostoTotal!H28&gt;0,CostoTotal!H28*INVENTARIO!H28,0)</f>
        <v>0</v>
      </c>
      <c r="I28" s="170">
        <f>IF(CostoTotal!I28&gt;0,CostoTotal!I28*INVENTARIO!I28,0)</f>
        <v>0</v>
      </c>
      <c r="J28" s="170">
        <f>IF(CostoTotal!J28&gt;0,CostoTotal!J28*INVENTARIO!J28,0)</f>
        <v>0</v>
      </c>
      <c r="K28" s="170">
        <f>IF(CostoTotal!K28&gt;0,CostoTotal!K28*INVENTARIO!K28,0)</f>
        <v>0</v>
      </c>
      <c r="L28" s="170">
        <f>IF(CostoTotal!L28&gt;0,CostoTotal!L28*INVENTARIO!L28,0)</f>
        <v>0</v>
      </c>
      <c r="M28" s="170">
        <f>IF(CostoTotal!M28&gt;0,CostoTotal!M28*INVENTARIO!M28,0)</f>
        <v>0</v>
      </c>
      <c r="N28" s="170">
        <f>IF(CostoTotal!N28&gt;0,CostoTotal!N28*INVENTARIO!N28,0)</f>
        <v>0</v>
      </c>
      <c r="O28" s="170">
        <f>IF(CostoTotal!O28&gt;0,CostoTotal!O28*INVENTARIO!O28,0)</f>
        <v>0</v>
      </c>
      <c r="P28" s="170">
        <f>IF(CostoTotal!P28&gt;0,CostoTotal!P28*INVENTARIO!P28,0)</f>
        <v>0</v>
      </c>
      <c r="Q28" s="170">
        <f>IF(CostoTotal!Q28&gt;0,CostoTotal!Q28*INVENTARIO!Q28,0)</f>
        <v>0</v>
      </c>
      <c r="R28" s="171"/>
      <c r="S28" s="172">
        <f t="shared" si="0"/>
        <v>0</v>
      </c>
    </row>
    <row r="29" spans="1:19" ht="20.25" customHeight="1" thickBot="1" x14ac:dyDescent="0.25">
      <c r="A29" s="162">
        <v>27</v>
      </c>
      <c r="B29" s="23" t="s">
        <v>125</v>
      </c>
      <c r="C29" s="170">
        <f>IF(CostoTotal!C29&gt;0,CostoTotal!C29*INVENTARIO!C29,0)</f>
        <v>0</v>
      </c>
      <c r="D29" s="170">
        <f>IF(CostoTotal!D29&gt;0,CostoTotal!D29*INVENTARIO!D29,0)</f>
        <v>0</v>
      </c>
      <c r="E29" s="170">
        <f>IF(CostoTotal!E29&gt;0,CostoTotal!E29*INVENTARIO!E29,0)</f>
        <v>0</v>
      </c>
      <c r="F29" s="170">
        <f>IF(CostoTotal!F29&gt;0,CostoTotal!F29*INVENTARIO!F29,0)</f>
        <v>0</v>
      </c>
      <c r="G29" s="170">
        <f>IF(CostoTotal!G29&gt;0,CostoTotal!G29*INVENTARIO!G29,0)</f>
        <v>0</v>
      </c>
      <c r="H29" s="170">
        <f>IF(CostoTotal!H29&gt;0,CostoTotal!H29*INVENTARIO!H29,0)</f>
        <v>0</v>
      </c>
      <c r="I29" s="170">
        <f>IF(CostoTotal!I29&gt;0,CostoTotal!I29*INVENTARIO!I29,0)</f>
        <v>0</v>
      </c>
      <c r="J29" s="170">
        <f>IF(CostoTotal!J29&gt;0,CostoTotal!J29*INVENTARIO!J29,0)</f>
        <v>0</v>
      </c>
      <c r="K29" s="170">
        <f>IF(CostoTotal!K29&gt;0,CostoTotal!K29*INVENTARIO!K29,0)</f>
        <v>0</v>
      </c>
      <c r="L29" s="170">
        <f>IF(CostoTotal!L29&gt;0,CostoTotal!L29*INVENTARIO!L29,0)</f>
        <v>0</v>
      </c>
      <c r="M29" s="170">
        <f>IF(CostoTotal!M29&gt;0,CostoTotal!M29*INVENTARIO!M29,0)</f>
        <v>0</v>
      </c>
      <c r="N29" s="170">
        <f>IF(CostoTotal!N29&gt;0,CostoTotal!N29*INVENTARIO!N29,0)</f>
        <v>0</v>
      </c>
      <c r="O29" s="170">
        <f>IF(CostoTotal!O29&gt;0,CostoTotal!O29*INVENTARIO!O29,0)</f>
        <v>0</v>
      </c>
      <c r="P29" s="170">
        <f>IF(CostoTotal!P29&gt;0,CostoTotal!P29*INVENTARIO!P29,0)</f>
        <v>0</v>
      </c>
      <c r="Q29" s="170">
        <f>IF(CostoTotal!Q29&gt;0,CostoTotal!Q29*INVENTARIO!Q29,0)</f>
        <v>0</v>
      </c>
      <c r="R29" s="171"/>
      <c r="S29" s="172">
        <f t="shared" si="0"/>
        <v>0</v>
      </c>
    </row>
    <row r="31" spans="1:19" x14ac:dyDescent="0.2">
      <c r="S31" s="172">
        <f>SUM(S3:S30)</f>
        <v>552276.21940770745</v>
      </c>
    </row>
  </sheetData>
  <mergeCells count="1">
    <mergeCell ref="A1:Q1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230" scale="68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F6CF-A483-46BC-ABAD-1F31FC630C6A}">
  <sheetPr>
    <tabColor rgb="FFC00000"/>
    <pageSetUpPr fitToPage="1"/>
  </sheetPr>
  <dimension ref="A2:R30"/>
  <sheetViews>
    <sheetView topLeftCell="A7" zoomScale="85" zoomScaleNormal="85" workbookViewId="0">
      <selection activeCell="P15" sqref="P15"/>
    </sheetView>
  </sheetViews>
  <sheetFormatPr baseColWidth="10" defaultRowHeight="13.5" x14ac:dyDescent="0.25"/>
  <cols>
    <col min="1" max="1" width="9.710937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2" spans="1:18" x14ac:dyDescent="0.25">
      <c r="A2" s="217" t="s">
        <v>176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</row>
    <row r="3" spans="1:18" ht="14.25" thickBot="1" x14ac:dyDescent="0.3">
      <c r="A3" s="21" t="s">
        <v>15</v>
      </c>
      <c r="B3" s="21" t="s">
        <v>0</v>
      </c>
      <c r="C3" s="146">
        <v>2</v>
      </c>
      <c r="D3" s="146">
        <v>4</v>
      </c>
      <c r="E3" s="146">
        <v>6</v>
      </c>
      <c r="F3" s="146">
        <v>8</v>
      </c>
      <c r="G3" s="147">
        <v>10</v>
      </c>
      <c r="H3" s="148">
        <v>12</v>
      </c>
      <c r="I3" s="146">
        <v>14</v>
      </c>
      <c r="J3" s="146" t="s">
        <v>149</v>
      </c>
      <c r="K3" s="147" t="s">
        <v>150</v>
      </c>
      <c r="L3" s="148" t="s">
        <v>151</v>
      </c>
      <c r="M3" s="146" t="s">
        <v>152</v>
      </c>
      <c r="N3" s="146" t="s">
        <v>153</v>
      </c>
      <c r="O3" s="146" t="s">
        <v>154</v>
      </c>
      <c r="P3" s="146" t="s">
        <v>155</v>
      </c>
      <c r="Q3" s="146" t="s">
        <v>156</v>
      </c>
      <c r="R3" s="146" t="s">
        <v>177</v>
      </c>
    </row>
    <row r="4" spans="1:18" ht="14.25" thickBot="1" x14ac:dyDescent="0.3">
      <c r="A4" s="162">
        <v>1</v>
      </c>
      <c r="B4" s="23" t="s">
        <v>1</v>
      </c>
      <c r="C4" s="180">
        <v>0</v>
      </c>
      <c r="D4" s="177">
        <v>0</v>
      </c>
      <c r="E4" s="177">
        <v>0</v>
      </c>
      <c r="F4" s="177">
        <v>0</v>
      </c>
      <c r="G4" s="181">
        <v>0</v>
      </c>
      <c r="H4" s="182">
        <v>0</v>
      </c>
      <c r="I4" s="177">
        <v>0</v>
      </c>
      <c r="J4" s="177">
        <v>170</v>
      </c>
      <c r="K4" s="181">
        <v>180</v>
      </c>
      <c r="L4" s="182">
        <v>180</v>
      </c>
      <c r="M4" s="177">
        <v>190</v>
      </c>
      <c r="N4" s="177">
        <v>200</v>
      </c>
      <c r="O4" s="177">
        <v>200</v>
      </c>
      <c r="P4" s="177">
        <v>220</v>
      </c>
      <c r="Q4" s="177">
        <v>230</v>
      </c>
      <c r="R4" s="177">
        <v>230</v>
      </c>
    </row>
    <row r="5" spans="1:18" ht="14.25" thickBot="1" x14ac:dyDescent="0.3">
      <c r="A5" s="163">
        <v>2</v>
      </c>
      <c r="B5" s="25" t="s">
        <v>2</v>
      </c>
      <c r="C5" s="179">
        <v>85</v>
      </c>
      <c r="D5" s="178">
        <v>85</v>
      </c>
      <c r="E5" s="178">
        <v>90</v>
      </c>
      <c r="F5" s="178">
        <v>95</v>
      </c>
      <c r="G5" s="183">
        <v>100</v>
      </c>
      <c r="H5" s="184">
        <v>105</v>
      </c>
      <c r="I5" s="178">
        <v>110</v>
      </c>
      <c r="J5" s="178">
        <v>115</v>
      </c>
      <c r="K5" s="183">
        <v>0</v>
      </c>
      <c r="L5" s="184">
        <v>125</v>
      </c>
      <c r="M5" s="178">
        <v>125</v>
      </c>
      <c r="N5" s="178">
        <v>130</v>
      </c>
      <c r="O5" s="178">
        <v>135</v>
      </c>
      <c r="P5" s="178">
        <v>140</v>
      </c>
      <c r="Q5" s="178">
        <v>150</v>
      </c>
      <c r="R5" s="185">
        <v>0</v>
      </c>
    </row>
    <row r="6" spans="1:18" ht="14.25" thickBot="1" x14ac:dyDescent="0.3">
      <c r="A6" s="162">
        <v>3</v>
      </c>
      <c r="B6" s="23" t="s">
        <v>138</v>
      </c>
      <c r="C6" s="180">
        <v>95</v>
      </c>
      <c r="D6" s="177">
        <v>95</v>
      </c>
      <c r="E6" s="177">
        <v>100</v>
      </c>
      <c r="F6" s="177">
        <v>105</v>
      </c>
      <c r="G6" s="181">
        <v>110</v>
      </c>
      <c r="H6" s="182">
        <v>115</v>
      </c>
      <c r="I6" s="177">
        <v>125</v>
      </c>
      <c r="J6" s="177">
        <v>130</v>
      </c>
      <c r="K6" s="181">
        <v>0</v>
      </c>
      <c r="L6" s="182">
        <v>135</v>
      </c>
      <c r="M6" s="177">
        <v>135</v>
      </c>
      <c r="N6" s="177">
        <v>140</v>
      </c>
      <c r="O6" s="177">
        <v>145</v>
      </c>
      <c r="P6" s="177">
        <v>150</v>
      </c>
      <c r="Q6" s="177">
        <v>160</v>
      </c>
      <c r="R6" s="185">
        <v>0</v>
      </c>
    </row>
    <row r="7" spans="1:18" ht="14.25" thickBot="1" x14ac:dyDescent="0.3">
      <c r="A7" s="163">
        <v>4</v>
      </c>
      <c r="B7" s="25" t="s">
        <v>3</v>
      </c>
      <c r="C7" s="179">
        <v>0</v>
      </c>
      <c r="D7" s="179">
        <v>0</v>
      </c>
      <c r="E7" s="179">
        <v>0</v>
      </c>
      <c r="F7" s="179">
        <v>0</v>
      </c>
      <c r="G7" s="179">
        <v>0</v>
      </c>
      <c r="H7" s="179">
        <v>0</v>
      </c>
      <c r="I7" s="179">
        <v>0</v>
      </c>
      <c r="J7" s="179">
        <v>0</v>
      </c>
      <c r="K7" s="183">
        <v>45</v>
      </c>
      <c r="L7" s="184">
        <v>0</v>
      </c>
      <c r="M7" s="184">
        <v>0</v>
      </c>
      <c r="N7" s="184">
        <v>0</v>
      </c>
      <c r="O7" s="184">
        <v>0</v>
      </c>
      <c r="P7" s="184">
        <v>0</v>
      </c>
      <c r="Q7" s="184">
        <v>0</v>
      </c>
      <c r="R7" s="185">
        <v>0</v>
      </c>
    </row>
    <row r="8" spans="1:18" ht="14.25" thickBot="1" x14ac:dyDescent="0.3">
      <c r="A8" s="162">
        <v>5</v>
      </c>
      <c r="B8" s="23" t="s">
        <v>5</v>
      </c>
      <c r="C8" s="180">
        <v>95</v>
      </c>
      <c r="D8" s="177">
        <v>95</v>
      </c>
      <c r="E8" s="177">
        <v>100</v>
      </c>
      <c r="F8" s="177">
        <v>105</v>
      </c>
      <c r="G8" s="181">
        <v>110</v>
      </c>
      <c r="H8" s="182">
        <v>115</v>
      </c>
      <c r="I8" s="177">
        <v>150</v>
      </c>
      <c r="J8" s="177">
        <v>170</v>
      </c>
      <c r="K8" s="181">
        <v>0</v>
      </c>
      <c r="L8" s="182">
        <v>170</v>
      </c>
      <c r="M8" s="185">
        <v>0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</row>
    <row r="9" spans="1:18" ht="14.25" thickBot="1" x14ac:dyDescent="0.3">
      <c r="A9" s="163">
        <v>6</v>
      </c>
      <c r="B9" s="25" t="s">
        <v>6</v>
      </c>
      <c r="C9" s="179">
        <v>90</v>
      </c>
      <c r="D9" s="178">
        <v>90</v>
      </c>
      <c r="E9" s="178">
        <v>95</v>
      </c>
      <c r="F9" s="178">
        <v>100</v>
      </c>
      <c r="G9" s="183">
        <v>105</v>
      </c>
      <c r="H9" s="184">
        <v>110</v>
      </c>
      <c r="I9" s="178">
        <v>145</v>
      </c>
      <c r="J9" s="178">
        <v>165</v>
      </c>
      <c r="K9" s="181">
        <v>0</v>
      </c>
      <c r="L9" s="184">
        <v>165</v>
      </c>
      <c r="M9" s="185">
        <v>0</v>
      </c>
      <c r="N9" s="185">
        <v>0</v>
      </c>
      <c r="O9" s="185">
        <v>0</v>
      </c>
      <c r="P9" s="185">
        <v>0</v>
      </c>
      <c r="Q9" s="185">
        <v>0</v>
      </c>
      <c r="R9" s="185">
        <v>0</v>
      </c>
    </row>
    <row r="10" spans="1:18" ht="14.25" thickBot="1" x14ac:dyDescent="0.3">
      <c r="A10" s="162">
        <v>7</v>
      </c>
      <c r="B10" s="23" t="s">
        <v>7</v>
      </c>
      <c r="C10" s="180">
        <v>65</v>
      </c>
      <c r="D10" s="177">
        <v>65</v>
      </c>
      <c r="E10" s="177">
        <v>65</v>
      </c>
      <c r="F10" s="177">
        <v>75</v>
      </c>
      <c r="G10" s="181">
        <v>75</v>
      </c>
      <c r="H10" s="182">
        <v>75</v>
      </c>
      <c r="I10" s="177">
        <v>85</v>
      </c>
      <c r="J10" s="177">
        <v>85</v>
      </c>
      <c r="K10" s="181">
        <v>0</v>
      </c>
      <c r="L10" s="182">
        <v>95</v>
      </c>
      <c r="M10" s="177">
        <v>95</v>
      </c>
      <c r="N10" s="177">
        <v>95</v>
      </c>
      <c r="O10" s="177">
        <v>100</v>
      </c>
      <c r="P10" s="177">
        <v>100</v>
      </c>
      <c r="Q10" s="177">
        <v>100</v>
      </c>
      <c r="R10" s="185">
        <v>0</v>
      </c>
    </row>
    <row r="11" spans="1:18" ht="14.25" thickBot="1" x14ac:dyDescent="0.3">
      <c r="A11" s="163">
        <v>8</v>
      </c>
      <c r="B11" s="25" t="s">
        <v>133</v>
      </c>
      <c r="C11" s="179">
        <v>75</v>
      </c>
      <c r="D11" s="178">
        <v>75</v>
      </c>
      <c r="E11" s="178">
        <v>75</v>
      </c>
      <c r="F11" s="178">
        <v>85</v>
      </c>
      <c r="G11" s="183">
        <v>85</v>
      </c>
      <c r="H11" s="184">
        <v>85</v>
      </c>
      <c r="I11" s="178">
        <v>95</v>
      </c>
      <c r="J11" s="178">
        <v>95</v>
      </c>
      <c r="K11" s="181">
        <v>0</v>
      </c>
      <c r="L11" s="184">
        <v>100</v>
      </c>
      <c r="M11" s="178">
        <v>100</v>
      </c>
      <c r="N11" s="178">
        <v>100</v>
      </c>
      <c r="O11" s="178">
        <v>110</v>
      </c>
      <c r="P11" s="178">
        <v>110</v>
      </c>
      <c r="Q11" s="178">
        <v>110</v>
      </c>
      <c r="R11" s="185">
        <v>0</v>
      </c>
    </row>
    <row r="12" spans="1:18" ht="14.25" thickBot="1" x14ac:dyDescent="0.3">
      <c r="A12" s="162">
        <v>9</v>
      </c>
      <c r="B12" s="23" t="s">
        <v>8</v>
      </c>
      <c r="C12" s="180">
        <v>60</v>
      </c>
      <c r="D12" s="177">
        <v>60</v>
      </c>
      <c r="E12" s="177">
        <v>65</v>
      </c>
      <c r="F12" s="177">
        <v>65</v>
      </c>
      <c r="G12" s="181">
        <v>70</v>
      </c>
      <c r="H12" s="182">
        <v>70</v>
      </c>
      <c r="I12" s="177">
        <v>80</v>
      </c>
      <c r="J12" s="177">
        <v>80</v>
      </c>
      <c r="K12" s="181">
        <v>0</v>
      </c>
      <c r="L12" s="182">
        <v>85</v>
      </c>
      <c r="M12" s="177">
        <v>85</v>
      </c>
      <c r="N12" s="177">
        <v>85</v>
      </c>
      <c r="O12" s="177">
        <v>90</v>
      </c>
      <c r="P12" s="177">
        <v>90</v>
      </c>
      <c r="Q12" s="177">
        <v>90</v>
      </c>
      <c r="R12" s="185">
        <v>0</v>
      </c>
    </row>
    <row r="13" spans="1:18" ht="14.25" thickBot="1" x14ac:dyDescent="0.3">
      <c r="A13" s="163">
        <v>10</v>
      </c>
      <c r="B13" s="25" t="s">
        <v>134</v>
      </c>
      <c r="C13" s="179">
        <v>60</v>
      </c>
      <c r="D13" s="178">
        <v>60</v>
      </c>
      <c r="E13" s="178">
        <v>65</v>
      </c>
      <c r="F13" s="178">
        <v>65</v>
      </c>
      <c r="G13" s="183">
        <v>70</v>
      </c>
      <c r="H13" s="184">
        <v>70</v>
      </c>
      <c r="I13" s="178">
        <v>80</v>
      </c>
      <c r="J13" s="178">
        <v>80</v>
      </c>
      <c r="K13" s="181">
        <v>0</v>
      </c>
      <c r="L13" s="184">
        <v>85</v>
      </c>
      <c r="M13" s="178">
        <v>85</v>
      </c>
      <c r="N13" s="178">
        <v>85</v>
      </c>
      <c r="O13" s="178">
        <v>90</v>
      </c>
      <c r="P13" s="178">
        <v>90</v>
      </c>
      <c r="Q13" s="178">
        <v>90</v>
      </c>
      <c r="R13" s="185">
        <v>0</v>
      </c>
    </row>
    <row r="14" spans="1:18" ht="14.25" thickBot="1" x14ac:dyDescent="0.3">
      <c r="A14" s="162">
        <v>11</v>
      </c>
      <c r="B14" s="23" t="s">
        <v>135</v>
      </c>
      <c r="C14" s="180">
        <v>90</v>
      </c>
      <c r="D14" s="177">
        <v>90</v>
      </c>
      <c r="E14" s="177">
        <v>90</v>
      </c>
      <c r="F14" s="177">
        <v>95</v>
      </c>
      <c r="G14" s="181">
        <v>95</v>
      </c>
      <c r="H14" s="182">
        <v>95</v>
      </c>
      <c r="I14" s="177">
        <v>100</v>
      </c>
      <c r="J14" s="177">
        <v>100</v>
      </c>
      <c r="K14" s="181">
        <v>0</v>
      </c>
      <c r="L14" s="182">
        <v>105</v>
      </c>
      <c r="M14" s="177">
        <v>105</v>
      </c>
      <c r="N14" s="177">
        <v>105</v>
      </c>
      <c r="O14" s="177">
        <v>110</v>
      </c>
      <c r="P14" s="177">
        <v>110</v>
      </c>
      <c r="Q14" s="177">
        <v>110</v>
      </c>
      <c r="R14" s="185">
        <v>0</v>
      </c>
    </row>
    <row r="15" spans="1:18" ht="14.25" thickBot="1" x14ac:dyDescent="0.3">
      <c r="A15" s="163">
        <v>12</v>
      </c>
      <c r="B15" s="25" t="s">
        <v>9</v>
      </c>
      <c r="C15" s="178">
        <v>0</v>
      </c>
      <c r="D15" s="178">
        <v>0</v>
      </c>
      <c r="E15" s="178">
        <v>0</v>
      </c>
      <c r="F15" s="178">
        <v>0</v>
      </c>
      <c r="G15" s="178">
        <v>0</v>
      </c>
      <c r="H15" s="178">
        <v>0</v>
      </c>
      <c r="I15" s="178">
        <v>0</v>
      </c>
      <c r="J15" s="178">
        <v>170</v>
      </c>
      <c r="K15" s="183">
        <v>170</v>
      </c>
      <c r="L15" s="184">
        <v>170</v>
      </c>
      <c r="M15" s="178">
        <v>180</v>
      </c>
      <c r="N15" s="178">
        <v>190</v>
      </c>
      <c r="O15" s="178">
        <v>200</v>
      </c>
      <c r="P15" s="178">
        <v>210</v>
      </c>
      <c r="Q15" s="178">
        <v>220</v>
      </c>
      <c r="R15" s="185">
        <v>0</v>
      </c>
    </row>
    <row r="16" spans="1:18" ht="14.25" thickBot="1" x14ac:dyDescent="0.3">
      <c r="A16" s="162">
        <v>13</v>
      </c>
      <c r="B16" s="23" t="s">
        <v>10</v>
      </c>
      <c r="C16" s="180">
        <v>85</v>
      </c>
      <c r="D16" s="177">
        <v>85</v>
      </c>
      <c r="E16" s="177">
        <v>90</v>
      </c>
      <c r="F16" s="177">
        <v>95</v>
      </c>
      <c r="G16" s="181">
        <v>100</v>
      </c>
      <c r="H16" s="182">
        <v>105</v>
      </c>
      <c r="I16" s="177">
        <v>110</v>
      </c>
      <c r="J16" s="177">
        <v>115</v>
      </c>
      <c r="K16" s="181">
        <v>120</v>
      </c>
      <c r="L16" s="182">
        <v>125</v>
      </c>
      <c r="M16" s="177">
        <v>125</v>
      </c>
      <c r="N16" s="177">
        <v>130</v>
      </c>
      <c r="O16" s="177">
        <v>135</v>
      </c>
      <c r="P16" s="177">
        <v>140</v>
      </c>
      <c r="Q16" s="177">
        <v>150</v>
      </c>
      <c r="R16" s="185">
        <v>0</v>
      </c>
    </row>
    <row r="17" spans="1:18" ht="14.25" thickBot="1" x14ac:dyDescent="0.3">
      <c r="A17" s="163">
        <v>14</v>
      </c>
      <c r="B17" s="25" t="s">
        <v>171</v>
      </c>
      <c r="C17" s="179">
        <f>C16+10</f>
        <v>95</v>
      </c>
      <c r="D17" s="178">
        <f t="shared" ref="D17:Q17" si="0">D16+10</f>
        <v>95</v>
      </c>
      <c r="E17" s="178">
        <f t="shared" si="0"/>
        <v>100</v>
      </c>
      <c r="F17" s="178">
        <f t="shared" si="0"/>
        <v>105</v>
      </c>
      <c r="G17" s="183">
        <f t="shared" si="0"/>
        <v>110</v>
      </c>
      <c r="H17" s="184">
        <f t="shared" si="0"/>
        <v>115</v>
      </c>
      <c r="I17" s="178">
        <f t="shared" si="0"/>
        <v>120</v>
      </c>
      <c r="J17" s="178">
        <f t="shared" si="0"/>
        <v>125</v>
      </c>
      <c r="K17" s="183">
        <f t="shared" si="0"/>
        <v>130</v>
      </c>
      <c r="L17" s="184">
        <f t="shared" si="0"/>
        <v>135</v>
      </c>
      <c r="M17" s="178">
        <f t="shared" si="0"/>
        <v>135</v>
      </c>
      <c r="N17" s="178">
        <f t="shared" si="0"/>
        <v>140</v>
      </c>
      <c r="O17" s="178">
        <f t="shared" si="0"/>
        <v>145</v>
      </c>
      <c r="P17" s="178">
        <f t="shared" si="0"/>
        <v>150</v>
      </c>
      <c r="Q17" s="178">
        <f t="shared" si="0"/>
        <v>160</v>
      </c>
      <c r="R17" s="185">
        <v>0</v>
      </c>
    </row>
    <row r="18" spans="1:18" ht="14.25" thickBot="1" x14ac:dyDescent="0.3">
      <c r="A18" s="162">
        <v>15</v>
      </c>
      <c r="B18" s="23" t="s">
        <v>11</v>
      </c>
      <c r="C18" s="180">
        <v>30</v>
      </c>
      <c r="D18" s="185">
        <v>0</v>
      </c>
      <c r="E18" s="185">
        <v>0</v>
      </c>
      <c r="F18" s="185">
        <v>0</v>
      </c>
      <c r="G18" s="185">
        <v>0</v>
      </c>
      <c r="H18" s="185">
        <v>0</v>
      </c>
      <c r="I18" s="185">
        <v>0</v>
      </c>
      <c r="J18" s="185">
        <v>0</v>
      </c>
      <c r="K18" s="185">
        <v>0</v>
      </c>
      <c r="L18" s="185">
        <v>0</v>
      </c>
      <c r="M18" s="185">
        <v>0</v>
      </c>
      <c r="N18" s="185">
        <v>0</v>
      </c>
      <c r="O18" s="185">
        <v>0</v>
      </c>
      <c r="P18" s="185">
        <v>0</v>
      </c>
      <c r="Q18" s="185">
        <v>0</v>
      </c>
      <c r="R18" s="185">
        <v>0</v>
      </c>
    </row>
    <row r="19" spans="1:18" ht="14.25" thickBot="1" x14ac:dyDescent="0.3">
      <c r="A19" s="163">
        <v>16</v>
      </c>
      <c r="B19" s="25" t="s">
        <v>12</v>
      </c>
      <c r="C19" s="179">
        <v>100</v>
      </c>
      <c r="D19" s="178">
        <v>110</v>
      </c>
      <c r="E19" s="178">
        <v>110</v>
      </c>
      <c r="F19" s="178">
        <v>110</v>
      </c>
      <c r="G19" s="183">
        <v>115</v>
      </c>
      <c r="H19" s="184">
        <v>155</v>
      </c>
      <c r="I19" s="178">
        <v>120</v>
      </c>
      <c r="J19" s="178">
        <v>120</v>
      </c>
      <c r="K19" s="185">
        <v>0</v>
      </c>
      <c r="L19" s="184">
        <v>125</v>
      </c>
      <c r="M19" s="178">
        <v>130</v>
      </c>
      <c r="N19" s="178">
        <v>135</v>
      </c>
      <c r="O19" s="178">
        <v>140</v>
      </c>
      <c r="P19" s="178">
        <v>150</v>
      </c>
      <c r="Q19" s="178">
        <v>170</v>
      </c>
      <c r="R19" s="185">
        <v>0</v>
      </c>
    </row>
    <row r="20" spans="1:18" ht="14.25" thickBot="1" x14ac:dyDescent="0.3">
      <c r="A20" s="162">
        <v>17</v>
      </c>
      <c r="B20" s="23" t="s">
        <v>13</v>
      </c>
      <c r="C20" s="180">
        <v>100</v>
      </c>
      <c r="D20" s="177">
        <v>100</v>
      </c>
      <c r="E20" s="177">
        <v>110</v>
      </c>
      <c r="F20" s="177">
        <v>110</v>
      </c>
      <c r="G20" s="181">
        <v>120</v>
      </c>
      <c r="H20" s="182">
        <v>120</v>
      </c>
      <c r="I20" s="185">
        <v>0</v>
      </c>
      <c r="J20" s="185">
        <v>0</v>
      </c>
      <c r="K20" s="185">
        <v>0</v>
      </c>
      <c r="L20" s="185">
        <v>0</v>
      </c>
      <c r="M20" s="185">
        <v>0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</row>
    <row r="21" spans="1:18" ht="14.25" thickBot="1" x14ac:dyDescent="0.3">
      <c r="A21" s="163">
        <v>18</v>
      </c>
      <c r="B21" s="25" t="s">
        <v>14</v>
      </c>
      <c r="C21" s="179">
        <v>100</v>
      </c>
      <c r="D21" s="178">
        <v>100</v>
      </c>
      <c r="E21" s="178">
        <v>110</v>
      </c>
      <c r="F21" s="178">
        <v>110</v>
      </c>
      <c r="G21" s="183">
        <v>120</v>
      </c>
      <c r="H21" s="184">
        <v>120</v>
      </c>
      <c r="I21" s="185">
        <v>0</v>
      </c>
      <c r="J21" s="185">
        <v>0</v>
      </c>
      <c r="K21" s="185">
        <v>0</v>
      </c>
      <c r="L21" s="185">
        <v>0</v>
      </c>
      <c r="M21" s="185">
        <v>0</v>
      </c>
      <c r="N21" s="185">
        <v>0</v>
      </c>
      <c r="O21" s="185">
        <v>0</v>
      </c>
      <c r="P21" s="185">
        <v>0</v>
      </c>
      <c r="Q21" s="185">
        <v>0</v>
      </c>
      <c r="R21" s="185">
        <v>0</v>
      </c>
    </row>
    <row r="22" spans="1:18" ht="14.25" thickBot="1" x14ac:dyDescent="0.3">
      <c r="A22" s="162">
        <v>19</v>
      </c>
      <c r="B22" s="23" t="s">
        <v>132</v>
      </c>
      <c r="C22" s="180">
        <v>115</v>
      </c>
      <c r="D22" s="177">
        <v>115</v>
      </c>
      <c r="E22" s="177">
        <v>130</v>
      </c>
      <c r="F22" s="177">
        <v>145</v>
      </c>
      <c r="G22" s="181">
        <v>150</v>
      </c>
      <c r="H22" s="182">
        <v>155</v>
      </c>
      <c r="I22" s="177">
        <v>165</v>
      </c>
      <c r="J22" s="177">
        <v>170</v>
      </c>
      <c r="K22" s="185">
        <v>0</v>
      </c>
      <c r="L22" s="182">
        <v>180</v>
      </c>
      <c r="M22" s="177">
        <v>180</v>
      </c>
      <c r="N22" s="177">
        <v>180</v>
      </c>
      <c r="O22" s="177">
        <v>185</v>
      </c>
      <c r="P22" s="177">
        <v>185</v>
      </c>
      <c r="Q22" s="177">
        <v>190</v>
      </c>
      <c r="R22" s="185">
        <v>0</v>
      </c>
    </row>
    <row r="23" spans="1:18" ht="14.25" thickBot="1" x14ac:dyDescent="0.3">
      <c r="A23" s="163">
        <v>20</v>
      </c>
      <c r="B23" s="25" t="s">
        <v>131</v>
      </c>
      <c r="C23" s="179">
        <v>115</v>
      </c>
      <c r="D23" s="178">
        <v>115</v>
      </c>
      <c r="E23" s="178">
        <v>125</v>
      </c>
      <c r="F23" s="178">
        <v>140</v>
      </c>
      <c r="G23" s="183">
        <v>145</v>
      </c>
      <c r="H23" s="184">
        <v>150</v>
      </c>
      <c r="I23" s="178">
        <v>155</v>
      </c>
      <c r="J23" s="178">
        <v>160</v>
      </c>
      <c r="K23" s="185">
        <v>0</v>
      </c>
      <c r="L23" s="184">
        <v>165</v>
      </c>
      <c r="M23" s="178">
        <v>170</v>
      </c>
      <c r="N23" s="178">
        <v>170</v>
      </c>
      <c r="O23" s="178">
        <v>175</v>
      </c>
      <c r="P23" s="178">
        <v>175</v>
      </c>
      <c r="Q23" s="178">
        <v>180</v>
      </c>
      <c r="R23" s="185">
        <v>0</v>
      </c>
    </row>
    <row r="24" spans="1:18" ht="14.25" thickBot="1" x14ac:dyDescent="0.3">
      <c r="A24" s="162">
        <v>21</v>
      </c>
      <c r="B24" s="23" t="s">
        <v>129</v>
      </c>
      <c r="C24" s="180">
        <v>150</v>
      </c>
      <c r="D24" s="177">
        <v>150</v>
      </c>
      <c r="E24" s="177">
        <v>150</v>
      </c>
      <c r="F24" s="177">
        <v>160</v>
      </c>
      <c r="G24" s="181">
        <v>160</v>
      </c>
      <c r="H24" s="182">
        <v>160</v>
      </c>
      <c r="I24" s="177">
        <v>170</v>
      </c>
      <c r="J24" s="177">
        <v>170</v>
      </c>
      <c r="K24" s="185">
        <v>0</v>
      </c>
      <c r="L24" s="182">
        <v>170</v>
      </c>
      <c r="M24" s="177">
        <v>180</v>
      </c>
      <c r="N24" s="177">
        <v>180</v>
      </c>
      <c r="O24" s="177">
        <v>190</v>
      </c>
      <c r="P24" s="177">
        <v>200</v>
      </c>
      <c r="Q24" s="177">
        <v>200</v>
      </c>
      <c r="R24" s="185">
        <v>0</v>
      </c>
    </row>
    <row r="25" spans="1:18" ht="14.25" thickBot="1" x14ac:dyDescent="0.3">
      <c r="A25" s="163">
        <v>22</v>
      </c>
      <c r="B25" s="25" t="s">
        <v>172</v>
      </c>
      <c r="C25" s="179">
        <v>150</v>
      </c>
      <c r="D25" s="178">
        <v>150</v>
      </c>
      <c r="E25" s="178">
        <v>150</v>
      </c>
      <c r="F25" s="178">
        <v>160</v>
      </c>
      <c r="G25" s="183">
        <v>160</v>
      </c>
      <c r="H25" s="184">
        <v>160</v>
      </c>
      <c r="I25" s="178">
        <v>170</v>
      </c>
      <c r="J25" s="178">
        <v>170</v>
      </c>
      <c r="K25" s="185">
        <v>0</v>
      </c>
      <c r="L25" s="184">
        <v>170</v>
      </c>
      <c r="M25" s="178">
        <v>180</v>
      </c>
      <c r="N25" s="178">
        <v>180</v>
      </c>
      <c r="O25" s="178">
        <v>190</v>
      </c>
      <c r="P25" s="178">
        <v>200</v>
      </c>
      <c r="Q25" s="178">
        <v>200</v>
      </c>
      <c r="R25" s="185">
        <v>0</v>
      </c>
    </row>
    <row r="26" spans="1:18" ht="14.25" thickBot="1" x14ac:dyDescent="0.3">
      <c r="A26" s="162">
        <v>23</v>
      </c>
      <c r="B26" s="23" t="s">
        <v>128</v>
      </c>
      <c r="C26" s="180">
        <v>150</v>
      </c>
      <c r="D26" s="177">
        <v>150</v>
      </c>
      <c r="E26" s="177">
        <v>150</v>
      </c>
      <c r="F26" s="177">
        <v>160</v>
      </c>
      <c r="G26" s="181">
        <v>160</v>
      </c>
      <c r="H26" s="182">
        <v>160</v>
      </c>
      <c r="I26" s="177">
        <v>170</v>
      </c>
      <c r="J26" s="177">
        <v>170</v>
      </c>
      <c r="K26" s="185">
        <v>0</v>
      </c>
      <c r="L26" s="182">
        <v>170</v>
      </c>
      <c r="M26" s="177">
        <v>180</v>
      </c>
      <c r="N26" s="177">
        <v>180</v>
      </c>
      <c r="O26" s="177">
        <v>190</v>
      </c>
      <c r="P26" s="177">
        <v>200</v>
      </c>
      <c r="Q26" s="177">
        <v>200</v>
      </c>
      <c r="R26" s="185">
        <v>0</v>
      </c>
    </row>
    <row r="27" spans="1:18" ht="14.25" thickBot="1" x14ac:dyDescent="0.3">
      <c r="A27" s="163">
        <v>24</v>
      </c>
      <c r="B27" s="25" t="s">
        <v>130</v>
      </c>
      <c r="C27" s="179">
        <v>90</v>
      </c>
      <c r="D27" s="178">
        <v>90</v>
      </c>
      <c r="E27" s="178">
        <v>95</v>
      </c>
      <c r="F27" s="178">
        <v>95</v>
      </c>
      <c r="G27" s="183">
        <v>100</v>
      </c>
      <c r="H27" s="184">
        <v>100</v>
      </c>
      <c r="I27" s="178">
        <v>105</v>
      </c>
      <c r="J27" s="178">
        <v>110</v>
      </c>
      <c r="K27" s="185">
        <v>0</v>
      </c>
      <c r="L27" s="184">
        <v>120</v>
      </c>
      <c r="M27" s="178">
        <v>135</v>
      </c>
      <c r="N27" s="178">
        <v>140</v>
      </c>
      <c r="O27" s="178">
        <v>145</v>
      </c>
      <c r="P27" s="178">
        <v>150</v>
      </c>
      <c r="Q27" s="178">
        <v>150</v>
      </c>
      <c r="R27" s="185">
        <v>0</v>
      </c>
    </row>
    <row r="28" spans="1:18" ht="14.25" thickBot="1" x14ac:dyDescent="0.3">
      <c r="A28" s="162">
        <v>25</v>
      </c>
      <c r="B28" s="23" t="s">
        <v>136</v>
      </c>
      <c r="C28" s="180">
        <v>50</v>
      </c>
      <c r="D28" s="177">
        <v>50</v>
      </c>
      <c r="E28" s="177">
        <v>50</v>
      </c>
      <c r="F28" s="177">
        <v>60</v>
      </c>
      <c r="G28" s="181">
        <v>60</v>
      </c>
      <c r="H28" s="182">
        <v>65</v>
      </c>
      <c r="I28" s="177">
        <v>65</v>
      </c>
      <c r="J28" s="177">
        <v>65</v>
      </c>
      <c r="K28" s="185">
        <v>0</v>
      </c>
      <c r="L28" s="185">
        <v>0</v>
      </c>
      <c r="M28" s="185">
        <v>0</v>
      </c>
      <c r="N28" s="185">
        <v>0</v>
      </c>
      <c r="O28" s="185">
        <v>0</v>
      </c>
      <c r="P28" s="185">
        <v>0</v>
      </c>
      <c r="Q28" s="185">
        <v>0</v>
      </c>
      <c r="R28" s="185">
        <v>0</v>
      </c>
    </row>
    <row r="29" spans="1:18" ht="14.25" thickBot="1" x14ac:dyDescent="0.3">
      <c r="A29" s="163">
        <v>26</v>
      </c>
      <c r="B29" s="25" t="s">
        <v>137</v>
      </c>
      <c r="C29" s="179">
        <v>65</v>
      </c>
      <c r="D29" s="185">
        <v>0</v>
      </c>
      <c r="E29" s="185">
        <v>0</v>
      </c>
      <c r="F29" s="185">
        <v>0</v>
      </c>
      <c r="G29" s="185">
        <v>0</v>
      </c>
      <c r="H29" s="185">
        <v>0</v>
      </c>
      <c r="I29" s="185">
        <v>0</v>
      </c>
      <c r="J29" s="185">
        <v>0</v>
      </c>
      <c r="K29" s="185">
        <v>0</v>
      </c>
      <c r="L29" s="185">
        <v>0</v>
      </c>
      <c r="M29" s="185">
        <v>0</v>
      </c>
      <c r="N29" s="185">
        <v>0</v>
      </c>
      <c r="O29" s="185">
        <v>0</v>
      </c>
      <c r="P29" s="185">
        <v>0</v>
      </c>
      <c r="Q29" s="185">
        <v>0</v>
      </c>
      <c r="R29" s="185">
        <v>0</v>
      </c>
    </row>
    <row r="30" spans="1:18" ht="14.25" thickBot="1" x14ac:dyDescent="0.3">
      <c r="A30" s="162">
        <v>27</v>
      </c>
      <c r="B30" s="23" t="s">
        <v>125</v>
      </c>
      <c r="C30" s="185">
        <v>0</v>
      </c>
      <c r="D30" s="185">
        <v>0</v>
      </c>
      <c r="E30" s="185">
        <v>0</v>
      </c>
      <c r="F30" s="185">
        <v>0</v>
      </c>
      <c r="G30" s="185">
        <v>0</v>
      </c>
      <c r="H30" s="185">
        <v>0</v>
      </c>
      <c r="I30" s="185">
        <v>0</v>
      </c>
      <c r="J30" s="185">
        <v>0</v>
      </c>
      <c r="K30" s="185">
        <v>0</v>
      </c>
      <c r="L30" s="185">
        <v>0</v>
      </c>
      <c r="M30" s="185">
        <v>0</v>
      </c>
      <c r="N30" s="185">
        <v>0</v>
      </c>
      <c r="O30" s="185">
        <v>0</v>
      </c>
      <c r="P30" s="185">
        <v>0</v>
      </c>
      <c r="Q30" s="185">
        <v>0</v>
      </c>
      <c r="R30" s="185">
        <v>0</v>
      </c>
    </row>
  </sheetData>
  <mergeCells count="1">
    <mergeCell ref="A2:Q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512" scale="7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397D-6030-4551-B1D4-D273A58D8296}">
  <sheetPr>
    <tabColor rgb="FFC00000"/>
    <pageSetUpPr fitToPage="1"/>
  </sheetPr>
  <dimension ref="A1:R32"/>
  <sheetViews>
    <sheetView zoomScale="80" zoomScaleNormal="80" workbookViewId="0">
      <selection activeCell="T22" sqref="T22"/>
    </sheetView>
  </sheetViews>
  <sheetFormatPr baseColWidth="10" defaultRowHeight="13.5" x14ac:dyDescent="0.25"/>
  <cols>
    <col min="1" max="1" width="9.7109375" style="187" customWidth="1"/>
    <col min="2" max="2" width="24" style="187" customWidth="1"/>
    <col min="3" max="7" width="9.7109375" style="187" customWidth="1"/>
    <col min="8" max="8" width="10.7109375" style="187" customWidth="1"/>
    <col min="9" max="9" width="9.7109375" style="187" customWidth="1"/>
    <col min="10" max="18" width="10.7109375" style="187" customWidth="1"/>
    <col min="19" max="16384" width="11.42578125" style="186"/>
  </cols>
  <sheetData>
    <row r="1" spans="1:18" ht="20.100000000000001" customHeight="1" x14ac:dyDescent="0.25"/>
    <row r="2" spans="1:18" ht="20.100000000000001" customHeight="1" thickBot="1" x14ac:dyDescent="0.3">
      <c r="A2" s="206" t="s">
        <v>15</v>
      </c>
      <c r="B2" s="203" t="s">
        <v>0</v>
      </c>
      <c r="C2" s="203">
        <v>2</v>
      </c>
      <c r="D2" s="203">
        <v>4</v>
      </c>
      <c r="E2" s="203">
        <v>6</v>
      </c>
      <c r="F2" s="203">
        <v>8</v>
      </c>
      <c r="G2" s="205">
        <v>10</v>
      </c>
      <c r="H2" s="204">
        <v>12</v>
      </c>
      <c r="I2" s="203">
        <v>14</v>
      </c>
      <c r="J2" s="203" t="s">
        <v>149</v>
      </c>
      <c r="K2" s="205" t="s">
        <v>150</v>
      </c>
      <c r="L2" s="204" t="s">
        <v>151</v>
      </c>
      <c r="M2" s="203" t="s">
        <v>152</v>
      </c>
      <c r="N2" s="203" t="s">
        <v>153</v>
      </c>
      <c r="O2" s="203" t="s">
        <v>154</v>
      </c>
      <c r="P2" s="203" t="s">
        <v>155</v>
      </c>
      <c r="Q2" s="203" t="s">
        <v>156</v>
      </c>
      <c r="R2" s="202" t="s">
        <v>177</v>
      </c>
    </row>
    <row r="3" spans="1:18" ht="20.100000000000001" customHeight="1" thickBot="1" x14ac:dyDescent="0.3">
      <c r="A3" s="200">
        <v>1</v>
      </c>
      <c r="B3" s="199" t="s">
        <v>207</v>
      </c>
      <c r="C3" s="198" t="s">
        <v>208</v>
      </c>
      <c r="D3" s="198" t="s">
        <v>208</v>
      </c>
      <c r="E3" s="198" t="s">
        <v>208</v>
      </c>
      <c r="F3" s="198" t="s">
        <v>208</v>
      </c>
      <c r="G3" s="198" t="s">
        <v>208</v>
      </c>
      <c r="H3" s="198" t="s">
        <v>208</v>
      </c>
      <c r="I3" s="198" t="s">
        <v>208</v>
      </c>
      <c r="J3" s="198">
        <v>200</v>
      </c>
      <c r="K3" s="198">
        <v>200</v>
      </c>
      <c r="L3" s="198">
        <v>210</v>
      </c>
      <c r="M3" s="198">
        <v>220</v>
      </c>
      <c r="N3" s="198">
        <v>220</v>
      </c>
      <c r="O3" s="198">
        <v>230</v>
      </c>
      <c r="P3" s="198">
        <v>240</v>
      </c>
      <c r="Q3" s="198">
        <v>260</v>
      </c>
      <c r="R3" s="197">
        <v>300</v>
      </c>
    </row>
    <row r="4" spans="1:18" ht="20.100000000000001" customHeight="1" thickBot="1" x14ac:dyDescent="0.3">
      <c r="A4" s="196">
        <v>2</v>
      </c>
      <c r="B4" s="195" t="s">
        <v>209</v>
      </c>
      <c r="C4" s="194">
        <v>95</v>
      </c>
      <c r="D4" s="194">
        <v>95</v>
      </c>
      <c r="E4" s="194">
        <v>100</v>
      </c>
      <c r="F4" s="194">
        <v>105</v>
      </c>
      <c r="G4" s="194">
        <v>110</v>
      </c>
      <c r="H4" s="194">
        <v>115</v>
      </c>
      <c r="I4" s="194">
        <v>120</v>
      </c>
      <c r="J4" s="194">
        <v>125</v>
      </c>
      <c r="K4" s="194" t="s">
        <v>208</v>
      </c>
      <c r="L4" s="194">
        <v>135</v>
      </c>
      <c r="M4" s="194">
        <v>135</v>
      </c>
      <c r="N4" s="194">
        <v>140</v>
      </c>
      <c r="O4" s="194">
        <v>145</v>
      </c>
      <c r="P4" s="194">
        <v>150</v>
      </c>
      <c r="Q4" s="194">
        <v>165</v>
      </c>
      <c r="R4" s="193" t="s">
        <v>208</v>
      </c>
    </row>
    <row r="5" spans="1:18" ht="20.100000000000001" customHeight="1" thickBot="1" x14ac:dyDescent="0.3">
      <c r="A5" s="200">
        <v>3</v>
      </c>
      <c r="B5" s="199" t="s">
        <v>210</v>
      </c>
      <c r="C5" s="198">
        <v>105</v>
      </c>
      <c r="D5" s="198">
        <v>105</v>
      </c>
      <c r="E5" s="198">
        <v>110</v>
      </c>
      <c r="F5" s="198">
        <v>115</v>
      </c>
      <c r="G5" s="198">
        <v>120</v>
      </c>
      <c r="H5" s="198">
        <v>125</v>
      </c>
      <c r="I5" s="198">
        <v>135</v>
      </c>
      <c r="J5" s="198">
        <v>150</v>
      </c>
      <c r="K5" s="198" t="s">
        <v>208</v>
      </c>
      <c r="L5" s="198">
        <v>150</v>
      </c>
      <c r="M5" s="198" t="s">
        <v>208</v>
      </c>
      <c r="N5" s="198" t="s">
        <v>208</v>
      </c>
      <c r="O5" s="198" t="s">
        <v>208</v>
      </c>
      <c r="P5" s="198" t="s">
        <v>208</v>
      </c>
      <c r="Q5" s="198" t="s">
        <v>208</v>
      </c>
      <c r="R5" s="197" t="s">
        <v>208</v>
      </c>
    </row>
    <row r="6" spans="1:18" ht="20.100000000000001" customHeight="1" thickBot="1" x14ac:dyDescent="0.3">
      <c r="A6" s="196">
        <v>4</v>
      </c>
      <c r="B6" s="195" t="s">
        <v>211</v>
      </c>
      <c r="C6" s="194">
        <v>80</v>
      </c>
      <c r="D6" s="194" t="s">
        <v>208</v>
      </c>
      <c r="E6" s="194" t="s">
        <v>208</v>
      </c>
      <c r="F6" s="194" t="s">
        <v>208</v>
      </c>
      <c r="G6" s="194" t="s">
        <v>208</v>
      </c>
      <c r="H6" s="194" t="s">
        <v>208</v>
      </c>
      <c r="I6" s="194" t="s">
        <v>208</v>
      </c>
      <c r="J6" s="194" t="s">
        <v>208</v>
      </c>
      <c r="K6" s="194" t="s">
        <v>208</v>
      </c>
      <c r="L6" s="194" t="s">
        <v>208</v>
      </c>
      <c r="M6" s="194" t="s">
        <v>208</v>
      </c>
      <c r="N6" s="194" t="s">
        <v>208</v>
      </c>
      <c r="O6" s="194" t="s">
        <v>208</v>
      </c>
      <c r="P6" s="194" t="s">
        <v>208</v>
      </c>
      <c r="Q6" s="194" t="s">
        <v>208</v>
      </c>
      <c r="R6" s="193" t="s">
        <v>208</v>
      </c>
    </row>
    <row r="7" spans="1:18" ht="20.100000000000001" customHeight="1" thickBot="1" x14ac:dyDescent="0.3">
      <c r="A7" s="200">
        <v>5</v>
      </c>
      <c r="B7" s="199" t="s">
        <v>212</v>
      </c>
      <c r="C7" s="198">
        <v>110</v>
      </c>
      <c r="D7" s="198">
        <v>110</v>
      </c>
      <c r="E7" s="198">
        <v>115</v>
      </c>
      <c r="F7" s="198">
        <v>120</v>
      </c>
      <c r="G7" s="198">
        <v>125</v>
      </c>
      <c r="H7" s="198">
        <v>140</v>
      </c>
      <c r="I7" s="198">
        <v>170</v>
      </c>
      <c r="J7" s="198">
        <v>190</v>
      </c>
      <c r="K7" s="198" t="s">
        <v>208</v>
      </c>
      <c r="L7" s="198">
        <v>200</v>
      </c>
      <c r="M7" s="198" t="s">
        <v>208</v>
      </c>
      <c r="N7" s="198" t="s">
        <v>208</v>
      </c>
      <c r="O7" s="198" t="s">
        <v>208</v>
      </c>
      <c r="P7" s="198" t="s">
        <v>208</v>
      </c>
      <c r="Q7" s="198" t="s">
        <v>208</v>
      </c>
      <c r="R7" s="197" t="s">
        <v>208</v>
      </c>
    </row>
    <row r="8" spans="1:18" ht="20.100000000000001" customHeight="1" thickBot="1" x14ac:dyDescent="0.3">
      <c r="A8" s="196">
        <v>6</v>
      </c>
      <c r="B8" s="195" t="s">
        <v>6</v>
      </c>
      <c r="C8" s="194">
        <v>105</v>
      </c>
      <c r="D8" s="194">
        <v>105</v>
      </c>
      <c r="E8" s="194">
        <v>110</v>
      </c>
      <c r="F8" s="194">
        <v>115</v>
      </c>
      <c r="G8" s="194">
        <v>120</v>
      </c>
      <c r="H8" s="194">
        <v>135</v>
      </c>
      <c r="I8" s="194">
        <v>165</v>
      </c>
      <c r="J8" s="194">
        <v>185</v>
      </c>
      <c r="K8" s="194" t="s">
        <v>208</v>
      </c>
      <c r="L8" s="194" t="s">
        <v>208</v>
      </c>
      <c r="M8" s="194" t="s">
        <v>208</v>
      </c>
      <c r="N8" s="194" t="s">
        <v>208</v>
      </c>
      <c r="O8" s="194" t="s">
        <v>208</v>
      </c>
      <c r="P8" s="194" t="s">
        <v>208</v>
      </c>
      <c r="Q8" s="194" t="s">
        <v>208</v>
      </c>
      <c r="R8" s="193" t="s">
        <v>208</v>
      </c>
    </row>
    <row r="9" spans="1:18" ht="20.100000000000001" customHeight="1" thickBot="1" x14ac:dyDescent="0.3">
      <c r="A9" s="200">
        <v>7</v>
      </c>
      <c r="B9" s="199" t="s">
        <v>213</v>
      </c>
      <c r="C9" s="198">
        <v>75</v>
      </c>
      <c r="D9" s="198">
        <v>75</v>
      </c>
      <c r="E9" s="198">
        <v>75</v>
      </c>
      <c r="F9" s="198">
        <v>85</v>
      </c>
      <c r="G9" s="198">
        <v>85</v>
      </c>
      <c r="H9" s="198">
        <v>85</v>
      </c>
      <c r="I9" s="198">
        <v>95</v>
      </c>
      <c r="J9" s="198">
        <v>95</v>
      </c>
      <c r="K9" s="198" t="s">
        <v>208</v>
      </c>
      <c r="L9" s="198">
        <v>105</v>
      </c>
      <c r="M9" s="198">
        <v>105</v>
      </c>
      <c r="N9" s="198">
        <v>105</v>
      </c>
      <c r="O9" s="198">
        <v>110</v>
      </c>
      <c r="P9" s="198">
        <v>110</v>
      </c>
      <c r="Q9" s="198">
        <v>110</v>
      </c>
      <c r="R9" s="197" t="s">
        <v>208</v>
      </c>
    </row>
    <row r="10" spans="1:18" ht="20.100000000000001" customHeight="1" thickBot="1" x14ac:dyDescent="0.3">
      <c r="A10" s="196">
        <v>8</v>
      </c>
      <c r="B10" s="195" t="s">
        <v>214</v>
      </c>
      <c r="C10" s="194">
        <v>90</v>
      </c>
      <c r="D10" s="194">
        <v>90</v>
      </c>
      <c r="E10" s="194">
        <v>90</v>
      </c>
      <c r="F10" s="194">
        <v>100</v>
      </c>
      <c r="G10" s="194">
        <v>100</v>
      </c>
      <c r="H10" s="194">
        <v>100</v>
      </c>
      <c r="I10" s="194">
        <v>110</v>
      </c>
      <c r="J10" s="194">
        <v>110</v>
      </c>
      <c r="K10" s="194" t="s">
        <v>208</v>
      </c>
      <c r="L10" s="194">
        <v>115</v>
      </c>
      <c r="M10" s="194">
        <v>115</v>
      </c>
      <c r="N10" s="194">
        <v>115</v>
      </c>
      <c r="O10" s="194">
        <v>120</v>
      </c>
      <c r="P10" s="194">
        <v>120</v>
      </c>
      <c r="Q10" s="194">
        <v>125</v>
      </c>
      <c r="R10" s="193" t="s">
        <v>208</v>
      </c>
    </row>
    <row r="11" spans="1:18" ht="20.100000000000001" customHeight="1" thickBot="1" x14ac:dyDescent="0.3">
      <c r="A11" s="200">
        <v>9</v>
      </c>
      <c r="B11" s="199" t="s">
        <v>8</v>
      </c>
      <c r="C11" s="198">
        <v>70</v>
      </c>
      <c r="D11" s="198">
        <v>70</v>
      </c>
      <c r="E11" s="198">
        <v>75</v>
      </c>
      <c r="F11" s="198">
        <v>75</v>
      </c>
      <c r="G11" s="198">
        <v>80</v>
      </c>
      <c r="H11" s="198">
        <v>80</v>
      </c>
      <c r="I11" s="198">
        <v>90</v>
      </c>
      <c r="J11" s="198">
        <v>90</v>
      </c>
      <c r="K11" s="198" t="s">
        <v>208</v>
      </c>
      <c r="L11" s="198">
        <v>95</v>
      </c>
      <c r="M11" s="198">
        <v>95</v>
      </c>
      <c r="N11" s="198">
        <v>95</v>
      </c>
      <c r="O11" s="198">
        <v>100</v>
      </c>
      <c r="P11" s="198">
        <v>100</v>
      </c>
      <c r="Q11" s="198">
        <v>100</v>
      </c>
      <c r="R11" s="197" t="s">
        <v>208</v>
      </c>
    </row>
    <row r="12" spans="1:18" ht="20.100000000000001" customHeight="1" thickBot="1" x14ac:dyDescent="0.3">
      <c r="A12" s="196">
        <v>10</v>
      </c>
      <c r="B12" s="195" t="s">
        <v>134</v>
      </c>
      <c r="C12" s="194">
        <v>70</v>
      </c>
      <c r="D12" s="194">
        <v>70</v>
      </c>
      <c r="E12" s="194">
        <v>75</v>
      </c>
      <c r="F12" s="194">
        <v>85</v>
      </c>
      <c r="G12" s="194">
        <v>85</v>
      </c>
      <c r="H12" s="194">
        <v>85</v>
      </c>
      <c r="I12" s="194">
        <v>95</v>
      </c>
      <c r="J12" s="194">
        <v>95</v>
      </c>
      <c r="K12" s="194" t="s">
        <v>208</v>
      </c>
      <c r="L12" s="194">
        <v>95</v>
      </c>
      <c r="M12" s="194">
        <v>105</v>
      </c>
      <c r="N12" s="194">
        <v>105</v>
      </c>
      <c r="O12" s="194">
        <v>105</v>
      </c>
      <c r="P12" s="194">
        <v>115</v>
      </c>
      <c r="Q12" s="194">
        <v>115</v>
      </c>
      <c r="R12" s="193" t="s">
        <v>208</v>
      </c>
    </row>
    <row r="13" spans="1:18" ht="20.100000000000001" customHeight="1" thickBot="1" x14ac:dyDescent="0.3">
      <c r="A13" s="200">
        <v>11</v>
      </c>
      <c r="B13" s="199" t="s">
        <v>135</v>
      </c>
      <c r="C13" s="198">
        <v>105</v>
      </c>
      <c r="D13" s="198">
        <v>105</v>
      </c>
      <c r="E13" s="198">
        <v>105</v>
      </c>
      <c r="F13" s="198">
        <v>115</v>
      </c>
      <c r="G13" s="198">
        <v>115</v>
      </c>
      <c r="H13" s="198">
        <v>115</v>
      </c>
      <c r="I13" s="198">
        <v>125</v>
      </c>
      <c r="J13" s="198">
        <v>125</v>
      </c>
      <c r="K13" s="198" t="s">
        <v>208</v>
      </c>
      <c r="L13" s="198">
        <v>125</v>
      </c>
      <c r="M13" s="198">
        <v>135</v>
      </c>
      <c r="N13" s="198">
        <v>135</v>
      </c>
      <c r="O13" s="198">
        <v>135</v>
      </c>
      <c r="P13" s="198">
        <v>145</v>
      </c>
      <c r="Q13" s="198">
        <v>145</v>
      </c>
      <c r="R13" s="197" t="s">
        <v>208</v>
      </c>
    </row>
    <row r="14" spans="1:18" ht="20.100000000000001" customHeight="1" thickBot="1" x14ac:dyDescent="0.3">
      <c r="A14" s="196">
        <v>12</v>
      </c>
      <c r="B14" s="195" t="s">
        <v>215</v>
      </c>
      <c r="C14" s="194" t="s">
        <v>208</v>
      </c>
      <c r="D14" s="194" t="s">
        <v>208</v>
      </c>
      <c r="E14" s="194" t="s">
        <v>208</v>
      </c>
      <c r="F14" s="194" t="s">
        <v>208</v>
      </c>
      <c r="G14" s="194" t="s">
        <v>208</v>
      </c>
      <c r="H14" s="194" t="s">
        <v>208</v>
      </c>
      <c r="I14" s="194" t="s">
        <v>208</v>
      </c>
      <c r="J14" s="194">
        <v>200</v>
      </c>
      <c r="K14" s="194">
        <v>200</v>
      </c>
      <c r="L14" s="194">
        <v>200</v>
      </c>
      <c r="M14" s="194">
        <v>210</v>
      </c>
      <c r="N14" s="194">
        <v>220</v>
      </c>
      <c r="O14" s="194">
        <v>230</v>
      </c>
      <c r="P14" s="194">
        <v>240</v>
      </c>
      <c r="Q14" s="194">
        <v>250</v>
      </c>
      <c r="R14" s="193" t="s">
        <v>208</v>
      </c>
    </row>
    <row r="15" spans="1:18" ht="20.100000000000001" customHeight="1" thickBot="1" x14ac:dyDescent="0.3">
      <c r="A15" s="200">
        <v>13</v>
      </c>
      <c r="B15" s="199" t="s">
        <v>216</v>
      </c>
      <c r="C15" s="198">
        <v>95</v>
      </c>
      <c r="D15" s="198">
        <v>95</v>
      </c>
      <c r="E15" s="198">
        <v>100</v>
      </c>
      <c r="F15" s="198">
        <v>105</v>
      </c>
      <c r="G15" s="198">
        <v>110</v>
      </c>
      <c r="H15" s="198">
        <v>115</v>
      </c>
      <c r="I15" s="198">
        <v>120</v>
      </c>
      <c r="J15" s="198">
        <v>125</v>
      </c>
      <c r="K15" s="198">
        <v>125</v>
      </c>
      <c r="L15" s="198">
        <v>135</v>
      </c>
      <c r="M15" s="198">
        <v>135</v>
      </c>
      <c r="N15" s="198">
        <v>140</v>
      </c>
      <c r="O15" s="198">
        <v>145</v>
      </c>
      <c r="P15" s="198">
        <v>155</v>
      </c>
      <c r="Q15" s="198">
        <v>165</v>
      </c>
      <c r="R15" s="197" t="s">
        <v>208</v>
      </c>
    </row>
    <row r="16" spans="1:18" ht="20.100000000000001" customHeight="1" thickBot="1" x14ac:dyDescent="0.3">
      <c r="A16" s="196">
        <v>14</v>
      </c>
      <c r="B16" s="195" t="s">
        <v>217</v>
      </c>
      <c r="C16" s="194">
        <v>105</v>
      </c>
      <c r="D16" s="194">
        <v>105</v>
      </c>
      <c r="E16" s="194">
        <v>110</v>
      </c>
      <c r="F16" s="194">
        <v>115</v>
      </c>
      <c r="G16" s="194">
        <v>120</v>
      </c>
      <c r="H16" s="194">
        <v>125</v>
      </c>
      <c r="I16" s="194">
        <v>135</v>
      </c>
      <c r="J16" s="194">
        <v>150</v>
      </c>
      <c r="K16" s="193" t="s">
        <v>208</v>
      </c>
      <c r="L16" s="193" t="s">
        <v>208</v>
      </c>
      <c r="M16" s="193" t="s">
        <v>208</v>
      </c>
      <c r="N16" s="193" t="s">
        <v>208</v>
      </c>
      <c r="O16" s="193" t="s">
        <v>208</v>
      </c>
      <c r="P16" s="193" t="s">
        <v>208</v>
      </c>
      <c r="Q16" s="193" t="s">
        <v>208</v>
      </c>
      <c r="R16" s="193" t="s">
        <v>208</v>
      </c>
    </row>
    <row r="17" spans="1:18" ht="20.100000000000001" customHeight="1" thickBot="1" x14ac:dyDescent="0.3">
      <c r="A17" s="200">
        <v>15</v>
      </c>
      <c r="B17" s="201" t="s">
        <v>218</v>
      </c>
      <c r="C17" s="198">
        <v>60</v>
      </c>
      <c r="D17" s="198" t="s">
        <v>208</v>
      </c>
      <c r="E17" s="198" t="s">
        <v>208</v>
      </c>
      <c r="F17" s="198" t="s">
        <v>208</v>
      </c>
      <c r="G17" s="198" t="s">
        <v>208</v>
      </c>
      <c r="H17" s="198" t="s">
        <v>208</v>
      </c>
      <c r="I17" s="198" t="s">
        <v>208</v>
      </c>
      <c r="J17" s="198" t="s">
        <v>208</v>
      </c>
      <c r="K17" s="198" t="s">
        <v>208</v>
      </c>
      <c r="L17" s="198" t="s">
        <v>208</v>
      </c>
      <c r="M17" s="198" t="s">
        <v>208</v>
      </c>
      <c r="N17" s="198" t="s">
        <v>208</v>
      </c>
      <c r="O17" s="198" t="s">
        <v>208</v>
      </c>
      <c r="P17" s="198" t="s">
        <v>208</v>
      </c>
      <c r="Q17" s="198" t="s">
        <v>208</v>
      </c>
      <c r="R17" s="197" t="s">
        <v>208</v>
      </c>
    </row>
    <row r="18" spans="1:18" ht="20.100000000000001" customHeight="1" thickBot="1" x14ac:dyDescent="0.3">
      <c r="A18" s="196">
        <v>16</v>
      </c>
      <c r="B18" s="195" t="s">
        <v>219</v>
      </c>
      <c r="C18" s="194">
        <v>140</v>
      </c>
      <c r="D18" s="194">
        <v>160</v>
      </c>
      <c r="E18" s="194">
        <v>160</v>
      </c>
      <c r="F18" s="194">
        <v>170</v>
      </c>
      <c r="G18" s="194">
        <v>170</v>
      </c>
      <c r="H18" s="194">
        <v>180</v>
      </c>
      <c r="I18" s="194">
        <v>180</v>
      </c>
      <c r="J18" s="194">
        <v>190</v>
      </c>
      <c r="K18" s="194" t="s">
        <v>208</v>
      </c>
      <c r="L18" s="194">
        <v>200</v>
      </c>
      <c r="M18" s="194">
        <v>210</v>
      </c>
      <c r="N18" s="194">
        <v>210</v>
      </c>
      <c r="O18" s="194">
        <v>210</v>
      </c>
      <c r="P18" s="194">
        <v>220</v>
      </c>
      <c r="Q18" s="194">
        <v>220</v>
      </c>
      <c r="R18" s="193" t="s">
        <v>208</v>
      </c>
    </row>
    <row r="19" spans="1:18" ht="20.100000000000001" customHeight="1" thickBot="1" x14ac:dyDescent="0.3">
      <c r="A19" s="200">
        <v>17</v>
      </c>
      <c r="B19" s="199" t="s">
        <v>13</v>
      </c>
      <c r="C19" s="198">
        <v>150</v>
      </c>
      <c r="D19" s="198">
        <v>150</v>
      </c>
      <c r="E19" s="198">
        <v>160</v>
      </c>
      <c r="F19" s="198">
        <v>170</v>
      </c>
      <c r="G19" s="198">
        <v>180</v>
      </c>
      <c r="H19" s="198">
        <v>180</v>
      </c>
      <c r="I19" s="198" t="s">
        <v>208</v>
      </c>
      <c r="J19" s="198" t="s">
        <v>208</v>
      </c>
      <c r="K19" s="198" t="s">
        <v>208</v>
      </c>
      <c r="L19" s="198" t="s">
        <v>208</v>
      </c>
      <c r="M19" s="198" t="s">
        <v>208</v>
      </c>
      <c r="N19" s="198" t="s">
        <v>208</v>
      </c>
      <c r="O19" s="198" t="s">
        <v>208</v>
      </c>
      <c r="P19" s="198" t="s">
        <v>208</v>
      </c>
      <c r="Q19" s="198" t="s">
        <v>208</v>
      </c>
      <c r="R19" s="197" t="s">
        <v>208</v>
      </c>
    </row>
    <row r="20" spans="1:18" ht="20.100000000000001" customHeight="1" thickBot="1" x14ac:dyDescent="0.3">
      <c r="A20" s="196">
        <v>18</v>
      </c>
      <c r="B20" s="195" t="s">
        <v>14</v>
      </c>
      <c r="C20" s="194" t="s">
        <v>208</v>
      </c>
      <c r="D20" s="194">
        <v>150</v>
      </c>
      <c r="E20" s="194">
        <v>160</v>
      </c>
      <c r="F20" s="194">
        <v>170</v>
      </c>
      <c r="G20" s="194" t="s">
        <v>208</v>
      </c>
      <c r="H20" s="194" t="s">
        <v>208</v>
      </c>
      <c r="I20" s="194" t="s">
        <v>208</v>
      </c>
      <c r="J20" s="194" t="s">
        <v>208</v>
      </c>
      <c r="K20" s="194" t="s">
        <v>208</v>
      </c>
      <c r="L20" s="194" t="s">
        <v>208</v>
      </c>
      <c r="M20" s="194" t="s">
        <v>208</v>
      </c>
      <c r="N20" s="194" t="s">
        <v>208</v>
      </c>
      <c r="O20" s="194" t="s">
        <v>208</v>
      </c>
      <c r="P20" s="194" t="s">
        <v>208</v>
      </c>
      <c r="Q20" s="194" t="s">
        <v>208</v>
      </c>
      <c r="R20" s="193" t="s">
        <v>208</v>
      </c>
    </row>
    <row r="21" spans="1:18" ht="20.100000000000001" customHeight="1" thickBot="1" x14ac:dyDescent="0.3">
      <c r="A21" s="200">
        <v>19</v>
      </c>
      <c r="B21" s="199" t="s">
        <v>220</v>
      </c>
      <c r="C21" s="198">
        <v>125</v>
      </c>
      <c r="D21" s="198">
        <v>130</v>
      </c>
      <c r="E21" s="198">
        <v>145</v>
      </c>
      <c r="F21" s="198">
        <v>155</v>
      </c>
      <c r="G21" s="198">
        <v>160</v>
      </c>
      <c r="H21" s="198">
        <v>170</v>
      </c>
      <c r="I21" s="198">
        <v>180</v>
      </c>
      <c r="J21" s="198">
        <v>185</v>
      </c>
      <c r="K21" s="198" t="s">
        <v>208</v>
      </c>
      <c r="L21" s="198">
        <v>190</v>
      </c>
      <c r="M21" s="198">
        <v>195</v>
      </c>
      <c r="N21" s="198">
        <v>195</v>
      </c>
      <c r="O21" s="198">
        <v>200</v>
      </c>
      <c r="P21" s="198">
        <v>200</v>
      </c>
      <c r="Q21" s="198">
        <v>210</v>
      </c>
      <c r="R21" s="197" t="s">
        <v>208</v>
      </c>
    </row>
    <row r="22" spans="1:18" ht="20.100000000000001" customHeight="1" thickBot="1" x14ac:dyDescent="0.3">
      <c r="A22" s="196">
        <v>20</v>
      </c>
      <c r="B22" s="195" t="s">
        <v>221</v>
      </c>
      <c r="C22" s="194">
        <v>125</v>
      </c>
      <c r="D22" s="194">
        <v>130</v>
      </c>
      <c r="E22" s="194">
        <v>145</v>
      </c>
      <c r="F22" s="194">
        <v>155</v>
      </c>
      <c r="G22" s="194">
        <v>160</v>
      </c>
      <c r="H22" s="194">
        <v>170</v>
      </c>
      <c r="I22" s="194">
        <v>180</v>
      </c>
      <c r="J22" s="194">
        <v>185</v>
      </c>
      <c r="K22" s="194" t="s">
        <v>208</v>
      </c>
      <c r="L22" s="194">
        <v>190</v>
      </c>
      <c r="M22" s="194">
        <v>195</v>
      </c>
      <c r="N22" s="194">
        <v>195</v>
      </c>
      <c r="O22" s="194">
        <v>200</v>
      </c>
      <c r="P22" s="194">
        <v>200</v>
      </c>
      <c r="Q22" s="194">
        <v>210</v>
      </c>
      <c r="R22" s="193" t="s">
        <v>208</v>
      </c>
    </row>
    <row r="23" spans="1:18" ht="20.100000000000001" customHeight="1" thickBot="1" x14ac:dyDescent="0.3">
      <c r="A23" s="200">
        <v>21</v>
      </c>
      <c r="B23" s="199" t="s">
        <v>222</v>
      </c>
      <c r="C23" s="198">
        <v>170</v>
      </c>
      <c r="D23" s="198">
        <v>170</v>
      </c>
      <c r="E23" s="198">
        <v>170</v>
      </c>
      <c r="F23" s="198">
        <v>180</v>
      </c>
      <c r="G23" s="198">
        <v>180</v>
      </c>
      <c r="H23" s="198">
        <v>180</v>
      </c>
      <c r="I23" s="198">
        <v>190</v>
      </c>
      <c r="J23" s="198">
        <v>190</v>
      </c>
      <c r="K23" s="198" t="s">
        <v>208</v>
      </c>
      <c r="L23" s="198">
        <v>190</v>
      </c>
      <c r="M23" s="198">
        <v>200</v>
      </c>
      <c r="N23" s="198">
        <v>200</v>
      </c>
      <c r="O23" s="198">
        <v>210</v>
      </c>
      <c r="P23" s="198">
        <v>220</v>
      </c>
      <c r="Q23" s="198">
        <v>230</v>
      </c>
      <c r="R23" s="197" t="s">
        <v>208</v>
      </c>
    </row>
    <row r="24" spans="1:18" ht="20.100000000000001" customHeight="1" thickBot="1" x14ac:dyDescent="0.3">
      <c r="A24" s="196">
        <v>22</v>
      </c>
      <c r="B24" s="195" t="s">
        <v>223</v>
      </c>
      <c r="C24" s="194">
        <v>170</v>
      </c>
      <c r="D24" s="194">
        <v>170</v>
      </c>
      <c r="E24" s="194">
        <v>170</v>
      </c>
      <c r="F24" s="194">
        <v>180</v>
      </c>
      <c r="G24" s="194">
        <v>180</v>
      </c>
      <c r="H24" s="194">
        <v>180</v>
      </c>
      <c r="I24" s="194">
        <v>190</v>
      </c>
      <c r="J24" s="194">
        <v>190</v>
      </c>
      <c r="K24" s="194" t="s">
        <v>208</v>
      </c>
      <c r="L24" s="194">
        <v>190</v>
      </c>
      <c r="M24" s="194">
        <v>200</v>
      </c>
      <c r="N24" s="194">
        <v>200</v>
      </c>
      <c r="O24" s="194">
        <v>210</v>
      </c>
      <c r="P24" s="194">
        <v>220</v>
      </c>
      <c r="Q24" s="194">
        <v>230</v>
      </c>
      <c r="R24" s="193" t="s">
        <v>208</v>
      </c>
    </row>
    <row r="25" spans="1:18" ht="20.100000000000001" customHeight="1" thickBot="1" x14ac:dyDescent="0.3">
      <c r="A25" s="200">
        <v>23</v>
      </c>
      <c r="B25" s="199" t="s">
        <v>224</v>
      </c>
      <c r="C25" s="198">
        <v>190</v>
      </c>
      <c r="D25" s="198">
        <v>190</v>
      </c>
      <c r="E25" s="198">
        <v>190</v>
      </c>
      <c r="F25" s="198">
        <v>200</v>
      </c>
      <c r="G25" s="198">
        <v>200</v>
      </c>
      <c r="H25" s="198">
        <v>200</v>
      </c>
      <c r="I25" s="198">
        <v>210</v>
      </c>
      <c r="J25" s="198">
        <v>210</v>
      </c>
      <c r="K25" s="198" t="s">
        <v>208</v>
      </c>
      <c r="L25" s="198">
        <v>210</v>
      </c>
      <c r="M25" s="198">
        <v>220</v>
      </c>
      <c r="N25" s="198">
        <v>220</v>
      </c>
      <c r="O25" s="198">
        <v>230</v>
      </c>
      <c r="P25" s="198">
        <v>240</v>
      </c>
      <c r="Q25" s="198">
        <v>240</v>
      </c>
      <c r="R25" s="197" t="s">
        <v>208</v>
      </c>
    </row>
    <row r="26" spans="1:18" ht="20.100000000000001" customHeight="1" thickBot="1" x14ac:dyDescent="0.3">
      <c r="A26" s="196">
        <v>24</v>
      </c>
      <c r="B26" s="195" t="s">
        <v>225</v>
      </c>
      <c r="C26" s="194">
        <v>100</v>
      </c>
      <c r="D26" s="194">
        <v>100</v>
      </c>
      <c r="E26" s="194">
        <v>105</v>
      </c>
      <c r="F26" s="194">
        <v>105</v>
      </c>
      <c r="G26" s="194">
        <v>110</v>
      </c>
      <c r="H26" s="194">
        <v>110</v>
      </c>
      <c r="I26" s="194">
        <v>120</v>
      </c>
      <c r="J26" s="194">
        <v>120</v>
      </c>
      <c r="K26" s="194" t="s">
        <v>208</v>
      </c>
      <c r="L26" s="194">
        <v>130</v>
      </c>
      <c r="M26" s="194">
        <v>145</v>
      </c>
      <c r="N26" s="194">
        <v>150</v>
      </c>
      <c r="O26" s="194">
        <v>160</v>
      </c>
      <c r="P26" s="194">
        <v>165</v>
      </c>
      <c r="Q26" s="194">
        <v>170</v>
      </c>
      <c r="R26" s="193" t="s">
        <v>208</v>
      </c>
    </row>
    <row r="27" spans="1:18" ht="20.100000000000001" customHeight="1" thickBot="1" x14ac:dyDescent="0.3">
      <c r="A27" s="200">
        <v>25</v>
      </c>
      <c r="B27" s="199" t="s">
        <v>136</v>
      </c>
      <c r="C27" s="198">
        <v>75</v>
      </c>
      <c r="D27" s="198">
        <v>75</v>
      </c>
      <c r="E27" s="198">
        <v>75</v>
      </c>
      <c r="F27" s="198">
        <v>75</v>
      </c>
      <c r="G27" s="198">
        <v>75</v>
      </c>
      <c r="H27" s="198">
        <v>80</v>
      </c>
      <c r="I27" s="198">
        <v>80</v>
      </c>
      <c r="J27" s="198">
        <v>80</v>
      </c>
      <c r="K27" s="198" t="s">
        <v>208</v>
      </c>
      <c r="L27" s="198">
        <v>85</v>
      </c>
      <c r="M27" s="198">
        <v>85</v>
      </c>
      <c r="N27" s="198">
        <v>85</v>
      </c>
      <c r="O27" s="198">
        <v>85</v>
      </c>
      <c r="P27" s="198">
        <v>95</v>
      </c>
      <c r="Q27" s="198">
        <v>95</v>
      </c>
      <c r="R27" s="197" t="s">
        <v>208</v>
      </c>
    </row>
    <row r="28" spans="1:18" ht="20.100000000000001" customHeight="1" thickBot="1" x14ac:dyDescent="0.3">
      <c r="A28" s="196">
        <v>26</v>
      </c>
      <c r="B28" s="195" t="s">
        <v>137</v>
      </c>
      <c r="C28" s="194">
        <v>75</v>
      </c>
      <c r="D28" s="194">
        <v>75</v>
      </c>
      <c r="E28" s="194">
        <v>75</v>
      </c>
      <c r="F28" s="194">
        <v>75</v>
      </c>
      <c r="G28" s="194">
        <v>75</v>
      </c>
      <c r="H28" s="194">
        <v>80</v>
      </c>
      <c r="I28" s="194">
        <v>80</v>
      </c>
      <c r="J28" s="194">
        <v>80</v>
      </c>
      <c r="K28" s="194" t="s">
        <v>208</v>
      </c>
      <c r="L28" s="194">
        <v>85</v>
      </c>
      <c r="M28" s="194">
        <v>85</v>
      </c>
      <c r="N28" s="194">
        <v>85</v>
      </c>
      <c r="O28" s="194">
        <v>85</v>
      </c>
      <c r="P28" s="194">
        <v>95</v>
      </c>
      <c r="Q28" s="194">
        <v>95</v>
      </c>
      <c r="R28" s="193" t="s">
        <v>208</v>
      </c>
    </row>
    <row r="29" spans="1:18" ht="20.100000000000001" customHeight="1" thickBot="1" x14ac:dyDescent="0.3">
      <c r="A29" s="192">
        <v>27</v>
      </c>
      <c r="B29" s="191" t="s">
        <v>226</v>
      </c>
      <c r="C29" s="190">
        <v>780</v>
      </c>
      <c r="D29" s="190"/>
      <c r="E29" s="190" t="s">
        <v>228</v>
      </c>
      <c r="F29" s="190">
        <v>25</v>
      </c>
      <c r="G29" s="190"/>
      <c r="H29" s="190" t="s">
        <v>230</v>
      </c>
      <c r="I29" s="190">
        <v>90</v>
      </c>
      <c r="J29" s="190"/>
      <c r="K29" s="190" t="s">
        <v>232</v>
      </c>
      <c r="L29" s="190">
        <v>75</v>
      </c>
      <c r="M29" s="190">
        <v>0</v>
      </c>
      <c r="N29" s="190">
        <v>0</v>
      </c>
      <c r="O29" s="190">
        <v>0</v>
      </c>
      <c r="P29" s="190">
        <v>0</v>
      </c>
      <c r="Q29" s="190">
        <v>0</v>
      </c>
      <c r="R29" s="189">
        <v>0</v>
      </c>
    </row>
    <row r="30" spans="1:18" ht="20.100000000000001" customHeight="1" x14ac:dyDescent="0.25">
      <c r="A30" s="207">
        <v>28</v>
      </c>
      <c r="B30" s="208" t="s">
        <v>227</v>
      </c>
      <c r="C30" s="209">
        <v>480</v>
      </c>
      <c r="D30" s="209"/>
      <c r="E30" s="208" t="s">
        <v>229</v>
      </c>
      <c r="F30" s="209">
        <v>80</v>
      </c>
      <c r="G30" s="209"/>
      <c r="H30" s="208" t="s">
        <v>231</v>
      </c>
      <c r="I30" s="209">
        <v>20</v>
      </c>
      <c r="J30" s="209"/>
      <c r="K30" s="208" t="s">
        <v>233</v>
      </c>
      <c r="L30" s="209">
        <v>60</v>
      </c>
      <c r="M30" s="209"/>
      <c r="N30" s="209"/>
      <c r="O30" s="209"/>
      <c r="P30" s="209"/>
      <c r="Q30" s="209"/>
      <c r="R30" s="210"/>
    </row>
    <row r="32" spans="1:18" x14ac:dyDescent="0.25">
      <c r="A32" s="188" t="s">
        <v>234</v>
      </c>
    </row>
  </sheetData>
  <printOptions horizontalCentered="1" verticalCentered="1"/>
  <pageMargins left="0.23622047244094491" right="0.23622047244094491" top="0.23622047244094491" bottom="0.23622047244094491" header="0.31496062992125984" footer="0.31496062992125984"/>
  <pageSetup paperSize="10001" scale="8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2695-FA39-44AE-A21D-047BC39EFD78}">
  <sheetPr>
    <tabColor rgb="FFC00000"/>
    <pageSetUpPr fitToPage="1"/>
  </sheetPr>
  <dimension ref="A1:R30"/>
  <sheetViews>
    <sheetView tabSelected="1" zoomScale="80" zoomScaleNormal="80" workbookViewId="0">
      <selection activeCell="C16" sqref="C16"/>
    </sheetView>
  </sheetViews>
  <sheetFormatPr baseColWidth="10" defaultRowHeight="13.5" x14ac:dyDescent="0.25"/>
  <cols>
    <col min="1" max="1" width="7.5703125" style="1" customWidth="1"/>
    <col min="2" max="2" width="21.28515625" style="1" customWidth="1"/>
    <col min="3" max="13" width="9.7109375" style="2" customWidth="1"/>
    <col min="14" max="17" width="9.7109375" style="1" customWidth="1"/>
    <col min="18" max="16384" width="11.42578125" style="1"/>
  </cols>
  <sheetData>
    <row r="1" spans="1:18" ht="20.25" customHeight="1" x14ac:dyDescent="0.25">
      <c r="A1" s="218" t="s">
        <v>235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</row>
    <row r="2" spans="1:18" ht="20.25" customHeight="1" x14ac:dyDescent="0.25">
      <c r="A2" s="219" t="s">
        <v>15</v>
      </c>
      <c r="B2" s="219" t="s">
        <v>0</v>
      </c>
      <c r="C2" s="220">
        <v>2</v>
      </c>
      <c r="D2" s="220">
        <v>4</v>
      </c>
      <c r="E2" s="220">
        <v>6</v>
      </c>
      <c r="F2" s="220">
        <v>8</v>
      </c>
      <c r="G2" s="220">
        <v>10</v>
      </c>
      <c r="H2" s="220">
        <v>12</v>
      </c>
      <c r="I2" s="220">
        <v>14</v>
      </c>
      <c r="J2" s="220" t="s">
        <v>149</v>
      </c>
      <c r="K2" s="220" t="s">
        <v>150</v>
      </c>
      <c r="L2" s="220" t="s">
        <v>151</v>
      </c>
      <c r="M2" s="220" t="s">
        <v>152</v>
      </c>
      <c r="N2" s="220" t="s">
        <v>153</v>
      </c>
      <c r="O2" s="220" t="s">
        <v>154</v>
      </c>
      <c r="P2" s="220" t="s">
        <v>155</v>
      </c>
      <c r="Q2" s="220" t="s">
        <v>156</v>
      </c>
      <c r="R2" s="220" t="s">
        <v>177</v>
      </c>
    </row>
    <row r="3" spans="1:18" ht="20.25" customHeight="1" x14ac:dyDescent="0.25">
      <c r="A3" s="221">
        <v>1</v>
      </c>
      <c r="B3" s="222" t="s">
        <v>1</v>
      </c>
      <c r="C3" s="223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18" ht="20.25" customHeight="1" x14ac:dyDescent="0.25">
      <c r="A4" s="225">
        <v>2</v>
      </c>
      <c r="B4" s="226" t="s">
        <v>2</v>
      </c>
      <c r="C4" s="227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9"/>
    </row>
    <row r="5" spans="1:18" ht="20.25" customHeight="1" x14ac:dyDescent="0.25">
      <c r="A5" s="221">
        <v>3</v>
      </c>
      <c r="B5" s="222" t="s">
        <v>138</v>
      </c>
      <c r="C5" s="223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9"/>
    </row>
    <row r="6" spans="1:18" ht="20.25" customHeight="1" x14ac:dyDescent="0.25">
      <c r="A6" s="225">
        <v>4</v>
      </c>
      <c r="B6" s="226" t="s">
        <v>3</v>
      </c>
      <c r="C6" s="227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9"/>
    </row>
    <row r="7" spans="1:18" ht="20.25" customHeight="1" x14ac:dyDescent="0.25">
      <c r="A7" s="221">
        <v>5</v>
      </c>
      <c r="B7" s="222" t="s">
        <v>5</v>
      </c>
      <c r="C7" s="223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9"/>
    </row>
    <row r="8" spans="1:18" ht="20.25" customHeight="1" x14ac:dyDescent="0.25">
      <c r="A8" s="225">
        <v>6</v>
      </c>
      <c r="B8" s="226" t="s">
        <v>6</v>
      </c>
      <c r="C8" s="227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9"/>
    </row>
    <row r="9" spans="1:18" ht="20.25" customHeight="1" x14ac:dyDescent="0.25">
      <c r="A9" s="221">
        <v>7</v>
      </c>
      <c r="B9" s="222" t="s">
        <v>7</v>
      </c>
      <c r="C9" s="223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9"/>
    </row>
    <row r="10" spans="1:18" ht="20.25" customHeight="1" x14ac:dyDescent="0.25">
      <c r="A10" s="225">
        <v>8</v>
      </c>
      <c r="B10" s="226" t="s">
        <v>133</v>
      </c>
      <c r="C10" s="227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9"/>
    </row>
    <row r="11" spans="1:18" ht="20.25" customHeight="1" x14ac:dyDescent="0.25">
      <c r="A11" s="221">
        <v>9</v>
      </c>
      <c r="B11" s="222" t="s">
        <v>8</v>
      </c>
      <c r="C11" s="223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9"/>
    </row>
    <row r="12" spans="1:18" ht="20.25" customHeight="1" x14ac:dyDescent="0.25">
      <c r="A12" s="225">
        <v>10</v>
      </c>
      <c r="B12" s="226" t="s">
        <v>134</v>
      </c>
      <c r="C12" s="227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9"/>
    </row>
    <row r="13" spans="1:18" ht="20.25" customHeight="1" x14ac:dyDescent="0.25">
      <c r="A13" s="221">
        <v>11</v>
      </c>
      <c r="B13" s="222" t="s">
        <v>135</v>
      </c>
      <c r="C13" s="223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9"/>
    </row>
    <row r="14" spans="1:18" ht="20.25" customHeight="1" x14ac:dyDescent="0.25">
      <c r="A14" s="225">
        <v>12</v>
      </c>
      <c r="B14" s="226" t="s">
        <v>9</v>
      </c>
      <c r="C14" s="227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9"/>
    </row>
    <row r="15" spans="1:18" ht="20.25" customHeight="1" x14ac:dyDescent="0.25">
      <c r="A15" s="221">
        <v>13</v>
      </c>
      <c r="B15" s="222" t="s">
        <v>10</v>
      </c>
      <c r="C15" s="223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9"/>
    </row>
    <row r="16" spans="1:18" ht="20.25" customHeight="1" x14ac:dyDescent="0.25">
      <c r="A16" s="221">
        <v>14</v>
      </c>
      <c r="B16" s="222" t="s">
        <v>171</v>
      </c>
      <c r="C16" s="223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9"/>
    </row>
    <row r="17" spans="1:18" ht="20.25" customHeight="1" x14ac:dyDescent="0.25">
      <c r="A17" s="225">
        <v>15</v>
      </c>
      <c r="B17" s="226" t="s">
        <v>11</v>
      </c>
      <c r="C17" s="227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9"/>
    </row>
    <row r="18" spans="1:18" ht="20.25" customHeight="1" x14ac:dyDescent="0.25">
      <c r="A18" s="221">
        <v>16</v>
      </c>
      <c r="B18" s="222" t="s">
        <v>12</v>
      </c>
      <c r="C18" s="223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9"/>
    </row>
    <row r="19" spans="1:18" ht="20.25" customHeight="1" x14ac:dyDescent="0.25">
      <c r="A19" s="225">
        <v>17</v>
      </c>
      <c r="B19" s="226" t="s">
        <v>13</v>
      </c>
      <c r="C19" s="227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9"/>
    </row>
    <row r="20" spans="1:18" ht="20.25" customHeight="1" x14ac:dyDescent="0.25">
      <c r="A20" s="221">
        <v>18</v>
      </c>
      <c r="B20" s="222" t="s">
        <v>14</v>
      </c>
      <c r="C20" s="223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9"/>
    </row>
    <row r="21" spans="1:18" ht="20.25" customHeight="1" x14ac:dyDescent="0.25">
      <c r="A21" s="225">
        <v>19</v>
      </c>
      <c r="B21" s="226" t="s">
        <v>132</v>
      </c>
      <c r="C21" s="227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9"/>
    </row>
    <row r="22" spans="1:18" ht="20.25" customHeight="1" x14ac:dyDescent="0.25">
      <c r="A22" s="221">
        <v>20</v>
      </c>
      <c r="B22" s="222" t="s">
        <v>131</v>
      </c>
      <c r="C22" s="223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9"/>
    </row>
    <row r="23" spans="1:18" ht="20.25" customHeight="1" x14ac:dyDescent="0.25">
      <c r="A23" s="225">
        <v>21</v>
      </c>
      <c r="B23" s="226" t="s">
        <v>129</v>
      </c>
      <c r="C23" s="227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9"/>
    </row>
    <row r="24" spans="1:18" ht="20.25" customHeight="1" x14ac:dyDescent="0.25">
      <c r="A24" s="230">
        <v>22</v>
      </c>
      <c r="B24" s="226" t="s">
        <v>172</v>
      </c>
      <c r="C24" s="227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9"/>
    </row>
    <row r="25" spans="1:18" ht="20.25" customHeight="1" x14ac:dyDescent="0.25">
      <c r="A25" s="221">
        <v>23</v>
      </c>
      <c r="B25" s="222" t="s">
        <v>128</v>
      </c>
      <c r="C25" s="223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9"/>
    </row>
    <row r="26" spans="1:18" ht="20.25" customHeight="1" x14ac:dyDescent="0.25">
      <c r="A26" s="225">
        <v>24</v>
      </c>
      <c r="B26" s="226" t="s">
        <v>130</v>
      </c>
      <c r="C26" s="227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9"/>
    </row>
    <row r="27" spans="1:18" ht="20.25" customHeight="1" x14ac:dyDescent="0.25">
      <c r="A27" s="221">
        <v>25</v>
      </c>
      <c r="B27" s="222" t="s">
        <v>136</v>
      </c>
      <c r="C27" s="223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9"/>
    </row>
    <row r="28" spans="1:18" ht="20.25" customHeight="1" x14ac:dyDescent="0.25">
      <c r="A28" s="225">
        <v>26</v>
      </c>
      <c r="B28" s="226" t="s">
        <v>137</v>
      </c>
      <c r="C28" s="227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9"/>
    </row>
    <row r="29" spans="1:18" ht="20.25" customHeight="1" x14ac:dyDescent="0.25">
      <c r="A29" s="221">
        <v>27</v>
      </c>
      <c r="B29" s="222" t="s">
        <v>125</v>
      </c>
      <c r="C29" s="223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9"/>
    </row>
    <row r="30" spans="1:18" ht="20.25" customHeight="1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1">
    <mergeCell ref="A1:Q1"/>
  </mergeCells>
  <printOptions horizontalCentered="1" verticalCentered="1"/>
  <pageMargins left="0.25" right="0.25" top="0.75" bottom="0.75" header="0.3" footer="0.3"/>
  <pageSetup scale="78" fitToHeight="0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17</vt:i4>
      </vt:variant>
    </vt:vector>
  </HeadingPairs>
  <TitlesOfParts>
    <vt:vector size="35" baseType="lpstr">
      <vt:lpstr>PesoMatPrima</vt:lpstr>
      <vt:lpstr>Acc</vt:lpstr>
      <vt:lpstr>Tela</vt:lpstr>
      <vt:lpstr>ManoDeObra</vt:lpstr>
      <vt:lpstr>fijosXprenda</vt:lpstr>
      <vt:lpstr>Fij&amp;Var</vt:lpstr>
      <vt:lpstr>Semit.</vt:lpstr>
      <vt:lpstr>CostoBruto</vt:lpstr>
      <vt:lpstr>PrecioDeVenta</vt:lpstr>
      <vt:lpstr>CostoAntesImp</vt:lpstr>
      <vt:lpstr>CostoTotal</vt:lpstr>
      <vt:lpstr>UtilidadNeta</vt:lpstr>
      <vt:lpstr>%Ganancia</vt:lpstr>
      <vt:lpstr>INVENTARIO</vt:lpstr>
      <vt:lpstr>CostoInventario</vt:lpstr>
      <vt:lpstr>PrecioAntiguos</vt:lpstr>
      <vt:lpstr>PrecioAgo2024</vt:lpstr>
      <vt:lpstr>INVENTARIO (2)</vt:lpstr>
      <vt:lpstr>'%Ganancia'!Área_de_impresión</vt:lpstr>
      <vt:lpstr>Acc!Área_de_impresión</vt:lpstr>
      <vt:lpstr>CostoAntesImp!Área_de_impresión</vt:lpstr>
      <vt:lpstr>CostoBruto!Área_de_impresión</vt:lpstr>
      <vt:lpstr>CostoInventario!Área_de_impresión</vt:lpstr>
      <vt:lpstr>CostoTotal!Área_de_impresión</vt:lpstr>
      <vt:lpstr>'Fij&amp;Var'!Área_de_impresión</vt:lpstr>
      <vt:lpstr>fijosXprenda!Área_de_impresión</vt:lpstr>
      <vt:lpstr>INVENTARIO!Área_de_impresión</vt:lpstr>
      <vt:lpstr>'INVENTARIO (2)'!Área_de_impresión</vt:lpstr>
      <vt:lpstr>ManoDeObra!Área_de_impresión</vt:lpstr>
      <vt:lpstr>PesoMatPrima!Área_de_impresión</vt:lpstr>
      <vt:lpstr>PrecioAgo2024!Área_de_impresión</vt:lpstr>
      <vt:lpstr>PrecioDeVenta!Área_de_impresión</vt:lpstr>
      <vt:lpstr>Semit.!Área_de_impresión</vt:lpstr>
      <vt:lpstr>Tela!Área_de_impresión</vt:lpstr>
      <vt:lpstr>UtilidadNeta!Área_de_impresión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ANKEL SRL</cp:lastModifiedBy>
  <cp:lastPrinted>2026-07-21T21:21:44Z</cp:lastPrinted>
  <dcterms:created xsi:type="dcterms:W3CDTF">2009-02-04T13:37:32Z</dcterms:created>
  <dcterms:modified xsi:type="dcterms:W3CDTF">2026-07-21T22:24:24Z</dcterms:modified>
</cp:coreProperties>
</file>